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source\Repos\Omnicell\CSV.Excel.Reporting\Source\CSV.Excel.Reporting\"/>
    </mc:Choice>
  </mc:AlternateContent>
  <xr:revisionPtr revIDLastSave="0" documentId="13_ncr:1_{FF3B86E1-5068-4E6D-BA6A-9288FDFAA548}" xr6:coauthVersionLast="45" xr6:coauthVersionMax="45" xr10:uidLastSave="{00000000-0000-0000-0000-000000000000}"/>
  <bookViews>
    <workbookView xWindow="3105" yWindow="1875" windowWidth="17745" windowHeight="11505" xr2:uid="{63E1D906-58AD-40F7-B9E8-0477455F297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1" i="1" l="1"/>
  <c r="N12" i="1"/>
  <c r="M11" i="1"/>
  <c r="L11" i="1"/>
  <c r="Q93" i="1"/>
  <c r="Q101" i="1"/>
  <c r="Q97" i="1"/>
  <c r="Q62" i="1"/>
  <c r="Q6" i="1"/>
  <c r="Q79" i="1"/>
  <c r="P22" i="1"/>
  <c r="O22" i="1"/>
  <c r="P96" i="1"/>
  <c r="P104" i="1"/>
  <c r="P80" i="1"/>
  <c r="P58" i="1"/>
  <c r="P146" i="1"/>
  <c r="O75" i="1"/>
  <c r="O141" i="1"/>
  <c r="Q59" i="1"/>
  <c r="Q143" i="1"/>
  <c r="O139" i="1"/>
  <c r="P141" i="1"/>
  <c r="P147" i="1"/>
  <c r="O85" i="1"/>
  <c r="Q132" i="1"/>
  <c r="P4" i="1"/>
  <c r="O26" i="1"/>
  <c r="O106" i="1"/>
  <c r="Q35" i="1"/>
  <c r="Q117" i="1"/>
  <c r="Q60" i="1"/>
  <c r="Q77" i="1"/>
  <c r="Q23" i="1"/>
  <c r="Q83" i="1"/>
  <c r="Q74" i="1"/>
  <c r="Q99" i="1"/>
  <c r="Q91" i="1"/>
  <c r="P67" i="1"/>
  <c r="P86" i="1"/>
  <c r="P25" i="1"/>
  <c r="O19" i="1"/>
  <c r="Q85" i="1"/>
  <c r="P24" i="1"/>
  <c r="P40" i="1"/>
  <c r="P75" i="1"/>
  <c r="O52" i="1"/>
  <c r="O74" i="1"/>
  <c r="O5" i="1"/>
  <c r="O78" i="1"/>
  <c r="Q141" i="1"/>
  <c r="P32" i="1"/>
  <c r="P99" i="1"/>
  <c r="Q43" i="1"/>
  <c r="Q134" i="1"/>
  <c r="Q15" i="1"/>
  <c r="Q98" i="1"/>
  <c r="O45" i="1"/>
  <c r="Q82" i="1"/>
  <c r="O134" i="1"/>
  <c r="Q80" i="1"/>
  <c r="P45" i="1"/>
  <c r="P144" i="1"/>
  <c r="P65" i="1"/>
  <c r="O79" i="1"/>
  <c r="O146" i="1"/>
  <c r="P129" i="1"/>
  <c r="Q78" i="1"/>
  <c r="P47" i="1"/>
  <c r="P126" i="1"/>
  <c r="Q65" i="1"/>
  <c r="P102" i="1"/>
  <c r="O118" i="1"/>
  <c r="O80" i="1"/>
  <c r="P142" i="1"/>
  <c r="Q125" i="1"/>
  <c r="Q55" i="1"/>
  <c r="O94" i="1"/>
  <c r="O72" i="1"/>
  <c r="Q104" i="1"/>
  <c r="Q112" i="1"/>
  <c r="Q137" i="1"/>
  <c r="Q107" i="1"/>
  <c r="Q10" i="1"/>
  <c r="P125" i="1"/>
  <c r="P33" i="1"/>
  <c r="O119" i="1"/>
  <c r="O100" i="1"/>
  <c r="O108" i="1"/>
  <c r="O121" i="1"/>
  <c r="O53" i="1"/>
  <c r="O147" i="1"/>
  <c r="O6" i="1"/>
  <c r="O88" i="1"/>
  <c r="P26" i="1"/>
  <c r="O16" i="1"/>
  <c r="O41" i="1"/>
  <c r="Q52" i="1"/>
  <c r="Q113" i="1"/>
  <c r="Q13" i="1"/>
  <c r="Q87" i="1"/>
  <c r="Q92" i="1"/>
  <c r="Q102" i="1"/>
  <c r="Q110" i="1"/>
  <c r="Q121" i="1"/>
  <c r="Q128" i="1"/>
  <c r="Q71" i="1"/>
  <c r="Q90" i="1"/>
  <c r="P68" i="1"/>
  <c r="O107" i="1"/>
  <c r="P38" i="1"/>
  <c r="P46" i="1"/>
  <c r="P119" i="1"/>
  <c r="P120" i="1"/>
  <c r="P63" i="1"/>
  <c r="O68" i="1"/>
  <c r="O142" i="1"/>
  <c r="O62" i="1"/>
  <c r="P34" i="1"/>
  <c r="P42" i="1"/>
  <c r="P84" i="1"/>
  <c r="O99" i="1"/>
  <c r="O127" i="1"/>
  <c r="O144" i="1"/>
  <c r="Q3" i="1"/>
  <c r="Q28" i="1"/>
  <c r="Q36" i="1"/>
  <c r="Q109" i="1"/>
  <c r="Q131" i="1"/>
  <c r="Q146" i="1"/>
  <c r="P60" i="1"/>
  <c r="P134" i="1"/>
  <c r="O145" i="1"/>
  <c r="O43" i="1"/>
  <c r="O125" i="1"/>
  <c r="O21" i="1"/>
  <c r="O105" i="1"/>
  <c r="P89" i="1"/>
  <c r="P92" i="1"/>
  <c r="O77" i="1"/>
  <c r="O10" i="1"/>
  <c r="P29" i="1"/>
  <c r="Q33" i="1"/>
  <c r="P73" i="1"/>
  <c r="P8" i="1"/>
  <c r="P87" i="1"/>
  <c r="O61" i="1"/>
  <c r="O55" i="1"/>
  <c r="Q27" i="1"/>
  <c r="Q119" i="1"/>
  <c r="P100" i="1"/>
  <c r="O102" i="1"/>
  <c r="Q38" i="1"/>
  <c r="P21" i="1"/>
  <c r="P37" i="1"/>
  <c r="P3" i="1"/>
  <c r="P127" i="1"/>
  <c r="P70" i="1"/>
  <c r="P7" i="1"/>
  <c r="O76" i="1"/>
  <c r="O132" i="1"/>
  <c r="O30" i="1"/>
  <c r="O38" i="1"/>
  <c r="O111" i="1"/>
  <c r="O9" i="1"/>
  <c r="O136" i="1"/>
  <c r="O18" i="1"/>
  <c r="P30" i="1"/>
  <c r="Q37" i="1"/>
  <c r="Q45" i="1"/>
  <c r="Q118" i="1"/>
  <c r="Q63" i="1"/>
  <c r="Q7" i="1"/>
  <c r="Q25" i="1"/>
  <c r="P27" i="1"/>
  <c r="Q106" i="1"/>
  <c r="Q114" i="1"/>
  <c r="Q122" i="1"/>
  <c r="Q115" i="1"/>
  <c r="P69" i="1"/>
  <c r="P117" i="1"/>
  <c r="P118" i="1"/>
  <c r="P121" i="1"/>
  <c r="O96" i="1"/>
  <c r="P49" i="1"/>
  <c r="P57" i="1"/>
  <c r="P130" i="1"/>
  <c r="O124" i="1"/>
  <c r="O67" i="1"/>
  <c r="O15" i="1"/>
  <c r="O98" i="1"/>
  <c r="O133" i="1"/>
  <c r="O29" i="1"/>
  <c r="O37" i="1"/>
  <c r="O110" i="1"/>
  <c r="Q95" i="1"/>
  <c r="Q30" i="1"/>
  <c r="O24" i="1"/>
  <c r="P103" i="1"/>
  <c r="Q39" i="1"/>
  <c r="Q47" i="1"/>
  <c r="Q120" i="1"/>
  <c r="Q139" i="1"/>
  <c r="P6" i="1"/>
  <c r="P105" i="1"/>
  <c r="P123" i="1"/>
  <c r="P128" i="1"/>
  <c r="O115" i="1"/>
  <c r="O86" i="1"/>
  <c r="Q22" i="1"/>
  <c r="P116" i="1"/>
  <c r="P43" i="1"/>
  <c r="O123" i="1"/>
  <c r="O120" i="1"/>
  <c r="Q84" i="1"/>
  <c r="P36" i="1"/>
  <c r="O60" i="1"/>
  <c r="Q105" i="1"/>
  <c r="O44" i="1"/>
  <c r="O129" i="1"/>
  <c r="Q19" i="1"/>
  <c r="P133" i="1"/>
  <c r="P110" i="1"/>
  <c r="Q50" i="1"/>
  <c r="P31" i="1"/>
  <c r="P39" i="1"/>
  <c r="P112" i="1"/>
  <c r="P138" i="1"/>
  <c r="P81" i="1"/>
  <c r="O3" i="1"/>
  <c r="O23" i="1"/>
  <c r="P90" i="1"/>
  <c r="O66" i="1"/>
  <c r="O91" i="1"/>
  <c r="Q96" i="1"/>
  <c r="P95" i="1"/>
  <c r="P106" i="1"/>
  <c r="Q67" i="1"/>
  <c r="Q66" i="1"/>
  <c r="Q49" i="1"/>
  <c r="Q57" i="1"/>
  <c r="Q130" i="1"/>
  <c r="P109" i="1"/>
  <c r="P52" i="1"/>
  <c r="P5" i="1"/>
  <c r="P136" i="1"/>
  <c r="P50" i="1"/>
  <c r="P131" i="1"/>
  <c r="P19" i="1"/>
  <c r="P54" i="1"/>
  <c r="P55" i="1"/>
  <c r="P140" i="1"/>
  <c r="P145" i="1"/>
  <c r="P83" i="1"/>
  <c r="Q75" i="1"/>
  <c r="O93" i="1"/>
  <c r="O101" i="1"/>
  <c r="O50" i="1"/>
  <c r="O54" i="1"/>
  <c r="O131" i="1"/>
  <c r="P23" i="1"/>
  <c r="O87" i="1"/>
  <c r="O84" i="1"/>
  <c r="O113" i="1"/>
  <c r="O58" i="1"/>
  <c r="O65" i="1"/>
  <c r="O34" i="1"/>
  <c r="Q124" i="1"/>
  <c r="Q21" i="1"/>
  <c r="P122" i="1"/>
  <c r="P85" i="1"/>
  <c r="P93" i="1"/>
  <c r="P53" i="1"/>
  <c r="P62" i="1"/>
  <c r="P17" i="1"/>
  <c r="P74" i="1"/>
  <c r="O4" i="1"/>
  <c r="P78" i="1"/>
  <c r="O35" i="1"/>
  <c r="P79" i="1"/>
  <c r="Q133" i="1"/>
  <c r="P61" i="1"/>
  <c r="P97" i="1"/>
  <c r="O59" i="1"/>
  <c r="O39" i="1"/>
  <c r="P114" i="1"/>
  <c r="Q126" i="1"/>
  <c r="P139" i="1"/>
  <c r="O69" i="1"/>
  <c r="Q46" i="1"/>
  <c r="P94" i="1"/>
  <c r="O70" i="1"/>
  <c r="O138" i="1"/>
  <c r="Q100" i="1"/>
  <c r="Q103" i="1"/>
  <c r="P143" i="1"/>
  <c r="O137" i="1"/>
  <c r="P82" i="1"/>
  <c r="O56" i="1"/>
  <c r="O97" i="1"/>
  <c r="O46" i="1"/>
  <c r="O128" i="1"/>
  <c r="O71" i="1"/>
  <c r="O90" i="1"/>
  <c r="O64" i="1"/>
  <c r="Q24" i="1"/>
  <c r="Q64" i="1"/>
  <c r="Q53" i="1"/>
  <c r="Q127" i="1"/>
  <c r="Q70" i="1"/>
  <c r="Q144" i="1"/>
  <c r="Q34" i="1"/>
  <c r="P56" i="1"/>
  <c r="P48" i="1"/>
  <c r="P64" i="1"/>
  <c r="P132" i="1"/>
  <c r="P108" i="1"/>
  <c r="P66" i="1"/>
  <c r="O140" i="1"/>
  <c r="O13" i="1"/>
  <c r="P124" i="1"/>
  <c r="O28" i="1"/>
  <c r="O36" i="1"/>
  <c r="O109" i="1"/>
  <c r="O83" i="1"/>
  <c r="O126" i="1"/>
  <c r="O135" i="1"/>
  <c r="O33" i="1"/>
  <c r="O14" i="1"/>
  <c r="Q31" i="1"/>
  <c r="Q94" i="1"/>
  <c r="O40" i="1"/>
  <c r="O32" i="1"/>
  <c r="Q142" i="1"/>
  <c r="Q88" i="1"/>
  <c r="P111" i="1"/>
  <c r="Q148" i="1"/>
  <c r="Q16" i="1"/>
  <c r="Q44" i="1"/>
  <c r="Q138" i="1"/>
  <c r="Q81" i="1"/>
  <c r="Q147" i="1"/>
  <c r="P13" i="1"/>
  <c r="Q73" i="1"/>
  <c r="P115" i="1"/>
  <c r="P51" i="1"/>
  <c r="O51" i="1"/>
  <c r="O117" i="1"/>
  <c r="O7" i="1"/>
  <c r="O25" i="1"/>
  <c r="Q32" i="1"/>
  <c r="O82" i="1"/>
  <c r="O114" i="1"/>
  <c r="O122" i="1"/>
  <c r="Q140" i="1"/>
  <c r="P76" i="1"/>
  <c r="Q72" i="1"/>
  <c r="P44" i="1"/>
  <c r="Q123" i="1"/>
  <c r="O48" i="1"/>
  <c r="O8" i="1"/>
  <c r="O20" i="1"/>
  <c r="Q18" i="1"/>
  <c r="Q17" i="1"/>
  <c r="A82" i="1"/>
  <c r="O27" i="1"/>
  <c r="P91" i="1"/>
  <c r="Q108" i="1"/>
  <c r="Q51" i="1"/>
  <c r="Q68" i="1"/>
  <c r="Q42" i="1"/>
  <c r="Q48" i="1"/>
  <c r="P137" i="1"/>
  <c r="P107" i="1"/>
  <c r="P77" i="1"/>
  <c r="P72" i="1"/>
  <c r="P135" i="1"/>
  <c r="P71" i="1"/>
  <c r="P98" i="1"/>
  <c r="Q5" i="1"/>
  <c r="O95" i="1"/>
  <c r="O103" i="1"/>
  <c r="O42" i="1"/>
  <c r="O73" i="1"/>
  <c r="O17" i="1"/>
  <c r="Q40" i="1"/>
  <c r="P41" i="1"/>
  <c r="Q8" i="1"/>
  <c r="Q29" i="1"/>
  <c r="Q20" i="1"/>
  <c r="P88" i="1"/>
  <c r="O92" i="1"/>
  <c r="O31" i="1"/>
  <c r="Q4" i="1"/>
  <c r="O104" i="1"/>
  <c r="Q56" i="1"/>
  <c r="Q89" i="1"/>
  <c r="Q54" i="1"/>
  <c r="Q9" i="1"/>
  <c r="Q136" i="1"/>
  <c r="P14" i="1"/>
  <c r="P15" i="1"/>
  <c r="Q61" i="1"/>
  <c r="P20" i="1"/>
  <c r="P28" i="1"/>
  <c r="P101" i="1"/>
  <c r="P9" i="1"/>
  <c r="P113" i="1"/>
  <c r="P10" i="1"/>
  <c r="O148" i="1"/>
  <c r="Q14" i="1"/>
  <c r="O49" i="1"/>
  <c r="O57" i="1"/>
  <c r="O130" i="1"/>
  <c r="Q41" i="1"/>
  <c r="Q129" i="1"/>
  <c r="Q86" i="1"/>
  <c r="O112" i="1"/>
  <c r="O116" i="1"/>
  <c r="Q58" i="1"/>
  <c r="Q116" i="1"/>
  <c r="P59" i="1"/>
  <c r="P18" i="1"/>
  <c r="P148" i="1"/>
  <c r="O47" i="1"/>
  <c r="Q76" i="1"/>
  <c r="Q69" i="1"/>
  <c r="P35" i="1"/>
  <c r="O143" i="1"/>
  <c r="Q135" i="1"/>
  <c r="O89" i="1"/>
  <c r="Q26" i="1"/>
  <c r="O81" i="1"/>
  <c r="Q145" i="1"/>
  <c r="Q111" i="1"/>
  <c r="P16" i="1"/>
  <c r="O63" i="1"/>
  <c r="N41" i="1" l="1"/>
  <c r="N95" i="1"/>
  <c r="N87" i="1"/>
  <c r="N98" i="1"/>
  <c r="N58" i="1"/>
  <c r="N38" i="1"/>
  <c r="N2" i="1"/>
  <c r="N43" i="1"/>
  <c r="N119" i="1"/>
  <c r="N126" i="1"/>
  <c r="N15" i="1"/>
  <c r="N40" i="1"/>
  <c r="N100" i="1"/>
  <c r="N69" i="1"/>
  <c r="N30" i="1"/>
  <c r="N27" i="1"/>
  <c r="N112" i="1"/>
  <c r="N52" i="1"/>
  <c r="N146" i="1"/>
  <c r="N96" i="1"/>
  <c r="N117" i="1"/>
  <c r="N94" i="1"/>
  <c r="N51" i="1"/>
  <c r="N5" i="1"/>
  <c r="N75" i="1"/>
  <c r="N57" i="1"/>
  <c r="N136" i="1"/>
  <c r="N66" i="1"/>
  <c r="N37" i="1"/>
  <c r="N129" i="1"/>
  <c r="N19" i="1"/>
  <c r="N25" i="1"/>
  <c r="N70" i="1"/>
  <c r="N121" i="1"/>
  <c r="N91" i="1"/>
  <c r="N99" i="1"/>
  <c r="N130" i="1"/>
  <c r="N141" i="1"/>
  <c r="N103" i="1"/>
  <c r="N3" i="1"/>
  <c r="N110" i="1"/>
  <c r="N16" i="1"/>
  <c r="N49" i="1"/>
  <c r="N71" i="1"/>
  <c r="N137" i="1"/>
  <c r="N9" i="1"/>
  <c r="N120" i="1"/>
  <c r="N53" i="1"/>
  <c r="N50" i="1"/>
  <c r="N6" i="1"/>
  <c r="N4" i="1"/>
  <c r="N77" i="1"/>
  <c r="N76" i="1"/>
  <c r="N67" i="1"/>
  <c r="N79" i="1"/>
  <c r="N142" i="1"/>
  <c r="N14" i="1"/>
  <c r="N127" i="1"/>
  <c r="N63" i="1"/>
  <c r="N54" i="1"/>
  <c r="N115" i="1"/>
  <c r="N145" i="1"/>
  <c r="N68" i="1"/>
  <c r="N55" i="1"/>
  <c r="N102" i="1"/>
  <c r="N17" i="1"/>
  <c r="N97" i="1"/>
  <c r="N59" i="1"/>
  <c r="N8" i="1"/>
  <c r="N73" i="1"/>
  <c r="N148" i="1"/>
  <c r="N28" i="1"/>
  <c r="N89" i="1"/>
  <c r="N105" i="1"/>
  <c r="N109" i="1"/>
  <c r="N111" i="1"/>
  <c r="N62" i="1"/>
  <c r="N78" i="1"/>
  <c r="N72" i="1"/>
  <c r="N36" i="1"/>
  <c r="N138" i="1"/>
  <c r="N143" i="1"/>
  <c r="N18" i="1"/>
  <c r="N86" i="1"/>
  <c r="N118" i="1"/>
  <c r="N131" i="1"/>
  <c r="N124" i="1"/>
  <c r="N81" i="1"/>
  <c r="N123" i="1"/>
  <c r="N85" i="1"/>
  <c r="N90" i="1"/>
  <c r="N140" i="1"/>
  <c r="N114" i="1"/>
  <c r="N84" i="1"/>
  <c r="N23" i="1"/>
  <c r="N45" i="1"/>
  <c r="N42" i="1"/>
  <c r="N116" i="1"/>
  <c r="N47" i="1"/>
  <c r="N60" i="1"/>
  <c r="N64" i="1"/>
  <c r="N48" i="1"/>
  <c r="N26" i="1"/>
  <c r="N139" i="1"/>
  <c r="N56" i="1"/>
  <c r="N74" i="1"/>
  <c r="N92" i="1"/>
  <c r="N144" i="1"/>
  <c r="N44" i="1"/>
  <c r="N34" i="1"/>
  <c r="N35" i="1"/>
  <c r="N147" i="1"/>
  <c r="N133" i="1"/>
  <c r="N101" i="1"/>
  <c r="N128" i="1"/>
  <c r="N135" i="1"/>
  <c r="N125" i="1"/>
  <c r="N20" i="1"/>
  <c r="N13" i="1"/>
  <c r="N113" i="1"/>
  <c r="N31" i="1"/>
  <c r="N22" i="1"/>
  <c r="N33" i="1"/>
  <c r="N80" i="1"/>
  <c r="N32" i="1"/>
  <c r="N29" i="1"/>
  <c r="N7" i="1"/>
  <c r="N104" i="1"/>
  <c r="N122" i="1"/>
  <c r="N108" i="1"/>
  <c r="N21" i="1"/>
  <c r="N83" i="1"/>
  <c r="N106" i="1"/>
  <c r="N39" i="1"/>
  <c r="N93" i="1"/>
  <c r="N132" i="1"/>
  <c r="N24" i="1"/>
  <c r="N88" i="1"/>
  <c r="N134" i="1"/>
  <c r="N46" i="1"/>
  <c r="N10" i="1"/>
  <c r="N61" i="1"/>
  <c r="N65" i="1"/>
  <c r="N107" i="1"/>
  <c r="M41" i="1"/>
  <c r="M95" i="1"/>
  <c r="M87" i="1"/>
  <c r="M98" i="1"/>
  <c r="M58" i="1"/>
  <c r="M38" i="1"/>
  <c r="M2" i="1"/>
  <c r="M43" i="1"/>
  <c r="M119" i="1"/>
  <c r="M126" i="1"/>
  <c r="M15" i="1"/>
  <c r="M40" i="1"/>
  <c r="M100" i="1"/>
  <c r="M69" i="1"/>
  <c r="M30" i="1"/>
  <c r="M27" i="1"/>
  <c r="M112" i="1"/>
  <c r="M52" i="1"/>
  <c r="M146" i="1"/>
  <c r="M96" i="1"/>
  <c r="M117" i="1"/>
  <c r="M94" i="1"/>
  <c r="M51" i="1"/>
  <c r="M5" i="1"/>
  <c r="M75" i="1"/>
  <c r="M57" i="1"/>
  <c r="M136" i="1"/>
  <c r="M66" i="1"/>
  <c r="M37" i="1"/>
  <c r="M129" i="1"/>
  <c r="M19" i="1"/>
  <c r="M25" i="1"/>
  <c r="M70" i="1"/>
  <c r="M121" i="1"/>
  <c r="M91" i="1"/>
  <c r="M99" i="1"/>
  <c r="M130" i="1"/>
  <c r="M141" i="1"/>
  <c r="M103" i="1"/>
  <c r="M3" i="1"/>
  <c r="M110" i="1"/>
  <c r="M16" i="1"/>
  <c r="M49" i="1"/>
  <c r="M71" i="1"/>
  <c r="M137" i="1"/>
  <c r="M9" i="1"/>
  <c r="M120" i="1"/>
  <c r="M53" i="1"/>
  <c r="M50" i="1"/>
  <c r="M6" i="1"/>
  <c r="M4" i="1"/>
  <c r="M77" i="1"/>
  <c r="M76" i="1"/>
  <c r="M67" i="1"/>
  <c r="M79" i="1"/>
  <c r="M142" i="1"/>
  <c r="M14" i="1"/>
  <c r="M127" i="1"/>
  <c r="M63" i="1"/>
  <c r="M54" i="1"/>
  <c r="M115" i="1"/>
  <c r="M145" i="1"/>
  <c r="M68" i="1"/>
  <c r="M55" i="1"/>
  <c r="M102" i="1"/>
  <c r="M17" i="1"/>
  <c r="M97" i="1"/>
  <c r="M59" i="1"/>
  <c r="M8" i="1"/>
  <c r="M73" i="1"/>
  <c r="M148" i="1"/>
  <c r="M28" i="1"/>
  <c r="M89" i="1"/>
  <c r="M105" i="1"/>
  <c r="M109" i="1"/>
  <c r="M111" i="1"/>
  <c r="M62" i="1"/>
  <c r="M78" i="1"/>
  <c r="M72" i="1"/>
  <c r="M36" i="1"/>
  <c r="M138" i="1"/>
  <c r="M143" i="1"/>
  <c r="M18" i="1"/>
  <c r="M86" i="1"/>
  <c r="M118" i="1"/>
  <c r="M131" i="1"/>
  <c r="M124" i="1"/>
  <c r="M81" i="1"/>
  <c r="M123" i="1"/>
  <c r="M85" i="1"/>
  <c r="M90" i="1"/>
  <c r="M140" i="1"/>
  <c r="M114" i="1"/>
  <c r="M84" i="1"/>
  <c r="M23" i="1"/>
  <c r="M45" i="1"/>
  <c r="M42" i="1"/>
  <c r="M116" i="1"/>
  <c r="M47" i="1"/>
  <c r="M60" i="1"/>
  <c r="M64" i="1"/>
  <c r="M48" i="1"/>
  <c r="M26" i="1"/>
  <c r="M139" i="1"/>
  <c r="M56" i="1"/>
  <c r="M74" i="1"/>
  <c r="M92" i="1"/>
  <c r="M144" i="1"/>
  <c r="M44" i="1"/>
  <c r="M34" i="1"/>
  <c r="M35" i="1"/>
  <c r="M147" i="1"/>
  <c r="M133" i="1"/>
  <c r="M101" i="1"/>
  <c r="M128" i="1"/>
  <c r="M135" i="1"/>
  <c r="M125" i="1"/>
  <c r="M20" i="1"/>
  <c r="M13" i="1"/>
  <c r="M113" i="1"/>
  <c r="M31" i="1"/>
  <c r="M22" i="1"/>
  <c r="M33" i="1"/>
  <c r="M80" i="1"/>
  <c r="M32" i="1"/>
  <c r="M29" i="1"/>
  <c r="M7" i="1"/>
  <c r="M104" i="1"/>
  <c r="M122" i="1"/>
  <c r="M108" i="1"/>
  <c r="M21" i="1"/>
  <c r="M83" i="1"/>
  <c r="M106" i="1"/>
  <c r="M39" i="1"/>
  <c r="M93" i="1"/>
  <c r="M132" i="1"/>
  <c r="M24" i="1"/>
  <c r="M88" i="1"/>
  <c r="M134" i="1"/>
  <c r="M46" i="1"/>
  <c r="M12" i="1"/>
  <c r="M10" i="1"/>
  <c r="M61" i="1"/>
  <c r="M65" i="1"/>
  <c r="M107" i="1"/>
  <c r="L41" i="1"/>
  <c r="L95" i="1"/>
  <c r="L87" i="1"/>
  <c r="L98" i="1"/>
  <c r="L58" i="1"/>
  <c r="L38" i="1"/>
  <c r="L2" i="1"/>
  <c r="L43" i="1"/>
  <c r="L119" i="1"/>
  <c r="L126" i="1"/>
  <c r="L15" i="1"/>
  <c r="L40" i="1"/>
  <c r="L100" i="1"/>
  <c r="L69" i="1"/>
  <c r="L30" i="1"/>
  <c r="L27" i="1"/>
  <c r="L112" i="1"/>
  <c r="L52" i="1"/>
  <c r="L146" i="1"/>
  <c r="L96" i="1"/>
  <c r="L117" i="1"/>
  <c r="L94" i="1"/>
  <c r="L51" i="1"/>
  <c r="L5" i="1"/>
  <c r="L75" i="1"/>
  <c r="L57" i="1"/>
  <c r="L136" i="1"/>
  <c r="L66" i="1"/>
  <c r="L37" i="1"/>
  <c r="L129" i="1"/>
  <c r="L19" i="1"/>
  <c r="L25" i="1"/>
  <c r="L70" i="1"/>
  <c r="L121" i="1"/>
  <c r="L91" i="1"/>
  <c r="L99" i="1"/>
  <c r="L130" i="1"/>
  <c r="L141" i="1"/>
  <c r="L103" i="1"/>
  <c r="L3" i="1"/>
  <c r="L110" i="1"/>
  <c r="L16" i="1"/>
  <c r="L49" i="1"/>
  <c r="L71" i="1"/>
  <c r="L137" i="1"/>
  <c r="L9" i="1"/>
  <c r="L120" i="1"/>
  <c r="L53" i="1"/>
  <c r="L50" i="1"/>
  <c r="L6" i="1"/>
  <c r="L4" i="1"/>
  <c r="L77" i="1"/>
  <c r="L76" i="1"/>
  <c r="L67" i="1"/>
  <c r="L79" i="1"/>
  <c r="L142" i="1"/>
  <c r="L14" i="1"/>
  <c r="L127" i="1"/>
  <c r="L63" i="1"/>
  <c r="L54" i="1"/>
  <c r="L115" i="1"/>
  <c r="L145" i="1"/>
  <c r="L68" i="1"/>
  <c r="L55" i="1"/>
  <c r="L102" i="1"/>
  <c r="L17" i="1"/>
  <c r="L97" i="1"/>
  <c r="L59" i="1"/>
  <c r="L8" i="1"/>
  <c r="L73" i="1"/>
  <c r="L148" i="1"/>
  <c r="L28" i="1"/>
  <c r="L89" i="1"/>
  <c r="L105" i="1"/>
  <c r="L109" i="1"/>
  <c r="L111" i="1"/>
  <c r="L62" i="1"/>
  <c r="L78" i="1"/>
  <c r="L72" i="1"/>
  <c r="L36" i="1"/>
  <c r="L138" i="1"/>
  <c r="L143" i="1"/>
  <c r="L18" i="1"/>
  <c r="L86" i="1"/>
  <c r="L118" i="1"/>
  <c r="L131" i="1"/>
  <c r="L124" i="1"/>
  <c r="L81" i="1"/>
  <c r="L123" i="1"/>
  <c r="L85" i="1"/>
  <c r="L90" i="1"/>
  <c r="L140" i="1"/>
  <c r="L114" i="1"/>
  <c r="L84" i="1"/>
  <c r="L23" i="1"/>
  <c r="L45" i="1"/>
  <c r="L42" i="1"/>
  <c r="L116" i="1"/>
  <c r="L47" i="1"/>
  <c r="L60" i="1"/>
  <c r="L64" i="1"/>
  <c r="L48" i="1"/>
  <c r="L26" i="1"/>
  <c r="L139" i="1"/>
  <c r="L56" i="1"/>
  <c r="L74" i="1"/>
  <c r="L92" i="1"/>
  <c r="L144" i="1"/>
  <c r="L44" i="1"/>
  <c r="L34" i="1"/>
  <c r="L35" i="1"/>
  <c r="L147" i="1"/>
  <c r="L133" i="1"/>
  <c r="L101" i="1"/>
  <c r="L128" i="1"/>
  <c r="L135" i="1"/>
  <c r="L125" i="1"/>
  <c r="L20" i="1"/>
  <c r="L13" i="1"/>
  <c r="L113" i="1"/>
  <c r="L31" i="1"/>
  <c r="L22" i="1"/>
  <c r="L33" i="1"/>
  <c r="L80" i="1"/>
  <c r="L32" i="1"/>
  <c r="L29" i="1"/>
  <c r="L7" i="1"/>
  <c r="L104" i="1"/>
  <c r="L122" i="1"/>
  <c r="L108" i="1"/>
  <c r="L21" i="1"/>
  <c r="L83" i="1"/>
  <c r="L106" i="1"/>
  <c r="L39" i="1"/>
  <c r="L93" i="1"/>
  <c r="L132" i="1"/>
  <c r="L24" i="1"/>
  <c r="L88" i="1"/>
  <c r="L134" i="1"/>
  <c r="L46" i="1"/>
  <c r="L12" i="1"/>
  <c r="L10" i="1"/>
  <c r="L61" i="1"/>
  <c r="L65" i="1"/>
  <c r="L107" i="1"/>
  <c r="A49" i="1"/>
  <c r="A124" i="1"/>
  <c r="A71" i="1"/>
  <c r="A139" i="1"/>
  <c r="A12" i="1"/>
  <c r="A135" i="1"/>
  <c r="A112" i="1"/>
  <c r="A136" i="1"/>
  <c r="A26" i="1"/>
  <c r="A97" i="1"/>
  <c r="A78" i="1"/>
  <c r="A100" i="1"/>
  <c r="A9" i="1"/>
  <c r="A38" i="1"/>
  <c r="A20" i="1"/>
  <c r="A40" i="1"/>
  <c r="A126" i="1"/>
  <c r="A109" i="1"/>
  <c r="A6" i="1"/>
  <c r="A67" i="1"/>
  <c r="A121" i="1"/>
  <c r="A39" i="1"/>
  <c r="A88" i="1"/>
  <c r="A98" i="1"/>
  <c r="A141" i="1"/>
  <c r="A41" i="1"/>
  <c r="A66" i="1"/>
  <c r="A103" i="1"/>
  <c r="A105" i="1"/>
  <c r="A83" i="1"/>
  <c r="A120" i="1"/>
  <c r="A130" i="1"/>
  <c r="A3" i="1"/>
  <c r="A45" i="1"/>
  <c r="A85" i="1"/>
  <c r="A7" i="1"/>
  <c r="A123" i="1"/>
  <c r="A146" i="1"/>
  <c r="A102" i="1"/>
  <c r="A69" i="1"/>
  <c r="A23" i="1"/>
  <c r="A118" i="1"/>
  <c r="A37" i="1"/>
  <c r="A81" i="1"/>
  <c r="A140" i="1"/>
  <c r="A122" i="1"/>
  <c r="A46" i="1"/>
  <c r="A79" i="1"/>
  <c r="A93" i="1"/>
  <c r="A113" i="1"/>
  <c r="A56" i="1"/>
  <c r="A51" i="1"/>
  <c r="A10" i="1"/>
  <c r="A2" i="1"/>
  <c r="A15" i="1"/>
  <c r="A61" i="1"/>
  <c r="A75" i="1"/>
  <c r="A90" i="1"/>
  <c r="A138" i="1"/>
  <c r="A77" i="1"/>
  <c r="A133" i="1"/>
  <c r="A94" i="1"/>
  <c r="A137" i="1"/>
  <c r="A57" i="1"/>
  <c r="A72" i="1"/>
  <c r="A14" i="1"/>
  <c r="A34" i="1"/>
  <c r="A91" i="1"/>
  <c r="A80" i="1"/>
  <c r="A111" i="1"/>
  <c r="A101" i="1"/>
  <c r="A29" i="1"/>
  <c r="A84" i="1"/>
  <c r="A87" i="1"/>
  <c r="A52" i="1"/>
  <c r="A125" i="1"/>
  <c r="A53" i="1"/>
  <c r="A144" i="1"/>
  <c r="A99" i="1"/>
  <c r="A108" i="1"/>
  <c r="A44" i="1"/>
  <c r="A24" i="1"/>
  <c r="A55" i="1"/>
  <c r="A110" i="1"/>
  <c r="A127" i="1"/>
  <c r="A119" i="1"/>
  <c r="A148" i="1"/>
  <c r="A59" i="1"/>
  <c r="A5" i="1"/>
  <c r="A129" i="1"/>
  <c r="A117" i="1"/>
  <c r="A4" i="1"/>
  <c r="A17" i="1"/>
  <c r="A107" i="1"/>
  <c r="A70" i="1"/>
  <c r="A104" i="1"/>
  <c r="A95" i="1"/>
  <c r="A76" i="1"/>
  <c r="A89" i="1"/>
  <c r="A50" i="1"/>
  <c r="A131" i="1"/>
  <c r="A16" i="1"/>
  <c r="A47" i="1"/>
  <c r="A74" i="1"/>
  <c r="A21" i="1"/>
  <c r="A32" i="1"/>
  <c r="A65" i="1"/>
  <c r="A22" i="1"/>
  <c r="A114" i="1"/>
  <c r="A116" i="1"/>
  <c r="A106" i="1"/>
  <c r="A147" i="1"/>
  <c r="A58" i="1"/>
  <c r="A60" i="1"/>
  <c r="A64" i="1"/>
  <c r="A30" i="1"/>
  <c r="A73" i="1"/>
  <c r="A33" i="1"/>
  <c r="A134" i="1"/>
  <c r="A63" i="1"/>
  <c r="A28" i="1"/>
  <c r="A92" i="1"/>
  <c r="A36" i="1"/>
  <c r="A142" i="1"/>
  <c r="A35" i="1"/>
  <c r="A19" i="1"/>
  <c r="A18" i="1"/>
  <c r="A96" i="1"/>
  <c r="A145" i="1"/>
  <c r="A143" i="1"/>
  <c r="A62" i="1"/>
  <c r="A25" i="1"/>
  <c r="A13" i="1"/>
  <c r="A128" i="1"/>
  <c r="A27" i="1"/>
  <c r="A54" i="1"/>
  <c r="A31" i="1"/>
  <c r="A86" i="1"/>
  <c r="A132" i="1"/>
  <c r="A68" i="1"/>
  <c r="A48" i="1"/>
  <c r="A43" i="1"/>
  <c r="A115" i="1"/>
  <c r="A42" i="1"/>
  <c r="A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Hill /6443</author>
  </authors>
  <commentList>
    <comment ref="B1" authorId="0" shapeId="0" xr:uid="{396CE727-7248-4442-814B-48DD8FD9154F}">
      <text>
        <r>
          <rPr>
            <b/>
            <sz val="9"/>
            <color indexed="81"/>
            <rFont val="Tahoma"/>
            <family val="2"/>
          </rPr>
          <t xml:space="preserve">X11 &amp; C# Color Names
</t>
        </r>
        <r>
          <rPr>
            <sz val="9"/>
            <color indexed="81"/>
            <rFont val="Tahoma"/>
            <family val="2"/>
          </rPr>
          <t xml:space="preserve">https://en.wikipedia.org/wiki/X11_color_names
</t>
        </r>
      </text>
    </comment>
    <comment ref="O1" authorId="0" shapeId="0" xr:uid="{765FA750-9425-4516-B656-232A9570ADA1}">
      <text>
        <r>
          <rPr>
            <sz val="9"/>
            <color indexed="81"/>
            <rFont val="Tahoma"/>
            <family val="2"/>
          </rPr>
          <t>L=235</t>
        </r>
      </text>
    </comment>
    <comment ref="P1" authorId="0" shapeId="0" xr:uid="{4D2B79E2-CCD2-4048-8222-DCC33598BD28}">
      <text>
        <r>
          <rPr>
            <sz val="9"/>
            <color indexed="81"/>
            <rFont val="Tahoma"/>
            <family val="2"/>
          </rPr>
          <t xml:space="preserve">L=180
</t>
        </r>
      </text>
    </comment>
    <comment ref="Q1" authorId="0" shapeId="0" xr:uid="{6192DC8C-64C4-49F5-94EE-2F477BC55903}">
      <text>
        <r>
          <rPr>
            <b/>
            <sz val="9"/>
            <color indexed="81"/>
            <rFont val="Tahoma"/>
            <family val="2"/>
          </rPr>
          <t>L=85</t>
        </r>
      </text>
    </comment>
    <comment ref="B4" authorId="0" shapeId="0" xr:uid="{1857D58F-A1C7-4A54-B464-612871052F00}">
      <text>
        <r>
          <rPr>
            <sz val="9"/>
            <color indexed="81"/>
            <rFont val="Tahoma"/>
            <family val="2"/>
          </rPr>
          <t xml:space="preserve">Not a .NET standard color
</t>
        </r>
      </text>
    </comment>
    <comment ref="B11" authorId="0" shapeId="0" xr:uid="{F7EEDEC2-D574-4DB5-9EE4-E848A06F5E46}">
      <text>
        <r>
          <rPr>
            <sz val="9"/>
            <color indexed="81"/>
            <rFont val="Tahoma"/>
            <family val="2"/>
          </rPr>
          <t xml:space="preserve">Not an X11 Color. Same as White but with Alpha==0
</t>
        </r>
      </text>
    </comment>
  </commentList>
</comments>
</file>

<file path=xl/sharedStrings.xml><?xml version="1.0" encoding="utf-8"?>
<sst xmlns="http://schemas.openxmlformats.org/spreadsheetml/2006/main" count="311" uniqueCount="307">
  <si>
    <t>Name</t>
  </si>
  <si>
    <t>Red</t>
  </si>
  <si>
    <t>Green</t>
  </si>
  <si>
    <t>Blue</t>
  </si>
  <si>
    <t>#F0F8FF</t>
  </si>
  <si>
    <t>#FAEBD7</t>
  </si>
  <si>
    <t>Aqua</t>
  </si>
  <si>
    <t>#00FFFF</t>
  </si>
  <si>
    <t>Cyan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</si>
  <si>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</si>
  <si>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</si>
  <si>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</si>
  <si>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</si>
  <si>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</si>
  <si>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</si>
  <si>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</si>
  <si>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</si>
  <si>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</si>
  <si>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</si>
  <si>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#FFEBCD</t>
  </si>
  <si>
    <t>#0000FF</t>
  </si>
  <si>
    <t>#8A2BE2</t>
  </si>
  <si>
    <t>Brown</t>
  </si>
  <si>
    <t>#A52A2A</t>
  </si>
  <si>
    <t>Burlywood</t>
  </si>
  <si>
    <t>#DEB887</t>
  </si>
  <si>
    <t>#5F9EA0</t>
  </si>
  <si>
    <t>Chartreuse</t>
  </si>
  <si>
    <t>#7FFF00</t>
  </si>
  <si>
    <t>Chocolate</t>
  </si>
  <si>
    <t>#D2691E</t>
  </si>
  <si>
    <t>Coral</t>
  </si>
  <si>
    <t>#FF7F50</t>
  </si>
  <si>
    <t>#6495ED</t>
  </si>
  <si>
    <t>Cornsilk</t>
  </si>
  <si>
    <t>#FFF8DC</t>
  </si>
  <si>
    <t>Crimson</t>
  </si>
  <si>
    <t>#DC143C</t>
  </si>
  <si>
    <t>#00008B</t>
  </si>
  <si>
    <t>#008B8B</t>
  </si>
  <si>
    <t>#B8860B</t>
  </si>
  <si>
    <t>#A9A9A9</t>
  </si>
  <si>
    <t>#006400</t>
  </si>
  <si>
    <t>#BDB76B</t>
  </si>
  <si>
    <t>#8B008B</t>
  </si>
  <si>
    <t>#556B2F</t>
  </si>
  <si>
    <t>#FF8C00</t>
  </si>
  <si>
    <t>#9932CC</t>
  </si>
  <si>
    <t>#8B0000</t>
  </si>
  <si>
    <t>#E9967A</t>
  </si>
  <si>
    <t>#8FBC8F</t>
  </si>
  <si>
    <t>#483D8B</t>
  </si>
  <si>
    <t>#2F4F4F</t>
  </si>
  <si>
    <t>#00CED1</t>
  </si>
  <si>
    <t>#9400D3</t>
  </si>
  <si>
    <t>#FF1493</t>
  </si>
  <si>
    <t>#00BFFF</t>
  </si>
  <si>
    <t>#696969</t>
  </si>
  <si>
    <t>#1E90FF</t>
  </si>
  <si>
    <t>Firebrick</t>
  </si>
  <si>
    <t>#B22222</t>
  </si>
  <si>
    <t>#FFFAF0</t>
  </si>
  <si>
    <t>#228B22</t>
  </si>
  <si>
    <t>Fuchsia</t>
  </si>
  <si>
    <t>#FF00FF</t>
  </si>
  <si>
    <t>Magenta</t>
  </si>
  <si>
    <t>Gainsboro</t>
  </si>
  <si>
    <t>#DCDCDC</t>
  </si>
  <si>
    <t>#F8F8FF</t>
  </si>
  <si>
    <t>Gold</t>
  </si>
  <si>
    <t>#FFD700</t>
  </si>
  <si>
    <t>Goldenrod</t>
  </si>
  <si>
    <t>#DAA520</t>
  </si>
  <si>
    <t>Gray</t>
  </si>
  <si>
    <t>#BEBEBE</t>
  </si>
  <si>
    <t>#808080</t>
  </si>
  <si>
    <t>#00FF00</t>
  </si>
  <si>
    <t>#008000</t>
  </si>
  <si>
    <t>#ADFF2F</t>
  </si>
  <si>
    <t>Honeydew</t>
  </si>
  <si>
    <t>#F0FFF0</t>
  </si>
  <si>
    <t>#FF69B4</t>
  </si>
  <si>
    <t>#CD5C5C</t>
  </si>
  <si>
    <t>Indigo</t>
  </si>
  <si>
    <t>#4B0082</t>
  </si>
  <si>
    <t>Ivory</t>
  </si>
  <si>
    <t>#FFFFF0</t>
  </si>
  <si>
    <t>Khaki</t>
  </si>
  <si>
    <t>#F0E68C</t>
  </si>
  <si>
    <t>Lavender</t>
  </si>
  <si>
    <t>#E6E6FA</t>
  </si>
  <si>
    <t>#FFF0F5</t>
  </si>
  <si>
    <t>#7CFC00</t>
  </si>
  <si>
    <t>#FFFACD</t>
  </si>
  <si>
    <t>#ADD8E6</t>
  </si>
  <si>
    <t>#F08080</t>
  </si>
  <si>
    <t>#E0FFFF</t>
  </si>
  <si>
    <t>#FAFAD2</t>
  </si>
  <si>
    <t>#D3D3D3</t>
  </si>
  <si>
    <t>#90EE90</t>
  </si>
  <si>
    <t>#FFB6C1</t>
  </si>
  <si>
    <t>#FFA07A</t>
  </si>
  <si>
    <t>#20B2AA</t>
  </si>
  <si>
    <t>#87CEFA</t>
  </si>
  <si>
    <t>#778899</t>
  </si>
  <si>
    <t>#B0C4DE</t>
  </si>
  <si>
    <t>#FFFFE0</t>
  </si>
  <si>
    <t>Lime</t>
  </si>
  <si>
    <t>#32CD32</t>
  </si>
  <si>
    <t>Linen</t>
  </si>
  <si>
    <t>#FAF0E6</t>
  </si>
  <si>
    <t>Maroon</t>
  </si>
  <si>
    <t>#B03060</t>
  </si>
  <si>
    <t>#800000</t>
  </si>
  <si>
    <t>#66CDAA</t>
  </si>
  <si>
    <t>#0000CD</t>
  </si>
  <si>
    <t>#BA55D3</t>
  </si>
  <si>
    <t>#9370DB</t>
  </si>
  <si>
    <t>#3CB371</t>
  </si>
  <si>
    <t>#7B68EE</t>
  </si>
  <si>
    <t>#00FA9A</t>
  </si>
  <si>
    <t>#48D1CC</t>
  </si>
  <si>
    <t>#C71585</t>
  </si>
  <si>
    <t>#191970</t>
  </si>
  <si>
    <t>#F5FFFA</t>
  </si>
  <si>
    <t>#FFE4E1</t>
  </si>
  <si>
    <t>Moccasin</t>
  </si>
  <si>
    <t>#FFE4B5</t>
  </si>
  <si>
    <t>#FFDEAD</t>
  </si>
  <si>
    <t>#000080</t>
  </si>
  <si>
    <t>#FDF5E6</t>
  </si>
  <si>
    <t>Olive</t>
  </si>
  <si>
    <t>#808000</t>
  </si>
  <si>
    <t>#6B8E23</t>
  </si>
  <si>
    <t>Orange</t>
  </si>
  <si>
    <t>#FFA500</t>
  </si>
  <si>
    <t>#FF4500</t>
  </si>
  <si>
    <t>Orchid</t>
  </si>
  <si>
    <t>#DA70D6</t>
  </si>
  <si>
    <t>#EEE8AA</t>
  </si>
  <si>
    <t>#98FB98</t>
  </si>
  <si>
    <t>#AFEEEE</t>
  </si>
  <si>
    <t>#DB7093</t>
  </si>
  <si>
    <t>#FFEFD5</t>
  </si>
  <si>
    <t>#FFDAB9</t>
  </si>
  <si>
    <t>Peru</t>
  </si>
  <si>
    <t>#CD853F</t>
  </si>
  <si>
    <t>Pink</t>
  </si>
  <si>
    <t>#FFC0CB</t>
  </si>
  <si>
    <t>Plum</t>
  </si>
  <si>
    <t>#DDA0DD</t>
  </si>
  <si>
    <t>#B0E0E6</t>
  </si>
  <si>
    <t>Purple</t>
  </si>
  <si>
    <t>#A020F0</t>
  </si>
  <si>
    <t>#800080</t>
  </si>
  <si>
    <t>#663399</t>
  </si>
  <si>
    <t>#FF0000</t>
  </si>
  <si>
    <t>#BC8F8F</t>
  </si>
  <si>
    <t>#4169E1</t>
  </si>
  <si>
    <t>#8B4513</t>
  </si>
  <si>
    <t>Salmon</t>
  </si>
  <si>
    <t>#FA8072</t>
  </si>
  <si>
    <t>#F4A460</t>
  </si>
  <si>
    <t>#2E8B57</t>
  </si>
  <si>
    <t>Seashell</t>
  </si>
  <si>
    <t>#FFF5EE</t>
  </si>
  <si>
    <t>Sienna</t>
  </si>
  <si>
    <t>#A0522D</t>
  </si>
  <si>
    <t>Silver</t>
  </si>
  <si>
    <t>#C0C0C0</t>
  </si>
  <si>
    <t>#87CEEB</t>
  </si>
  <si>
    <t>#6A5ACD</t>
  </si>
  <si>
    <t>#708090</t>
  </si>
  <si>
    <t>Snow</t>
  </si>
  <si>
    <t>#FFFAFA</t>
  </si>
  <si>
    <t>#00FF7F</t>
  </si>
  <si>
    <t>#4682B4</t>
  </si>
  <si>
    <t>Tan</t>
  </si>
  <si>
    <t>#D2B48C</t>
  </si>
  <si>
    <t>Teal</t>
  </si>
  <si>
    <t>#008080</t>
  </si>
  <si>
    <t>Thistle</t>
  </si>
  <si>
    <t>#D8BFD8</t>
  </si>
  <si>
    <t>Tomato</t>
  </si>
  <si>
    <t>#FF6347</t>
  </si>
  <si>
    <t>Turquoise</t>
  </si>
  <si>
    <t>#40E0D0</t>
  </si>
  <si>
    <t>Violet</t>
  </si>
  <si>
    <t>#EE82EE</t>
  </si>
  <si>
    <t>Wheat</t>
  </si>
  <si>
    <t>#F5DEB3</t>
  </si>
  <si>
    <t>White</t>
  </si>
  <si>
    <t>#FFFFFF</t>
  </si>
  <si>
    <t>#F5F5F5</t>
  </si>
  <si>
    <t>Yellow</t>
  </si>
  <si>
    <t>#FFFF00</t>
  </si>
  <si>
    <t>#9ACD32</t>
  </si>
  <si>
    <t>Hex (RGB)</t>
  </si>
  <si>
    <t>Red (RGB)</t>
  </si>
  <si>
    <t>Green (RGB)</t>
  </si>
  <si>
    <t>Blue (RGB)</t>
  </si>
  <si>
    <t>Hue (HSL/HSV)</t>
  </si>
  <si>
    <t>Satur. (HSL)</t>
  </si>
  <si>
    <t>Light (HSL)</t>
  </si>
  <si>
    <t>Satur. (HSV)</t>
  </si>
  <si>
    <t>Value (HSV)</t>
  </si>
  <si>
    <t>Hue Excel</t>
  </si>
  <si>
    <t xml:space="preserve">Satur. Excel </t>
  </si>
  <si>
    <t>Light Excel</t>
  </si>
  <si>
    <t>Color</t>
  </si>
  <si>
    <t>AliceBlue</t>
  </si>
  <si>
    <t>AntiqueWhite</t>
  </si>
  <si>
    <t>BlanchedAlmond</t>
  </si>
  <si>
    <t>BlueViolet</t>
  </si>
  <si>
    <t>CadetBlue</t>
  </si>
  <si>
    <t>CornflowerBlue</t>
  </si>
  <si>
    <t>DarkBlue</t>
  </si>
  <si>
    <t>DarkCyan</t>
  </si>
  <si>
    <t>DarkGoldenrod</t>
  </si>
  <si>
    <t>DarkGray</t>
  </si>
  <si>
    <t>DarkGreen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</si>
  <si>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</si>
  <si>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</si>
  <si>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</si>
  <si>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</si>
  <si>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</si>
  <si>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</si>
  <si>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</si>
  <si>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</si>
  <si>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</si>
  <si>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</si>
  <si>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</si>
  <si>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</si>
  <si>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</si>
  <si>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</si>
  <si>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</si>
  <si>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</si>
  <si>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FloralWhite</t>
  </si>
  <si>
    <t>ForestGreen</t>
  </si>
  <si>
    <t>GhostWhite</t>
  </si>
  <si>
    <t>GreenYellow</t>
  </si>
  <si>
    <t>HotPink</t>
  </si>
  <si>
    <t>IndianRed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</si>
  <si>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</si>
  <si>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</si>
  <si>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</si>
  <si>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</si>
  <si>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</si>
  <si>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</si>
  <si>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</si>
  <si>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LightGray</t>
  </si>
  <si>
    <t>LightGreen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</si>
  <si>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</si>
  <si>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</si>
  <si>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</si>
  <si>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</si>
  <si>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</si>
  <si>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</si>
  <si>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</si>
  <si>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</si>
  <si>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</si>
  <si>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</si>
  <si>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</si>
  <si>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</si>
  <si>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</si>
  <si>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</si>
  <si>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</si>
  <si>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</si>
  <si>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</si>
  <si>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</si>
  <si>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</si>
  <si>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</si>
  <si>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NavajoWhite</t>
  </si>
  <si>
    <t>OldLace</t>
  </si>
  <si>
    <t>OliveDrab</t>
  </si>
  <si>
    <t>OrangeRed</t>
  </si>
  <si>
    <t>PaleGoldenrod</t>
  </si>
  <si>
    <t>PaleGreen</t>
  </si>
  <si>
    <t>PaleTurquoise</t>
  </si>
  <si>
    <t>PaleVioletRed</t>
  </si>
  <si>
    <t>PapayaWhip</t>
  </si>
  <si>
    <t>PeachPuff</t>
  </si>
  <si>
    <t>PowderBlue</t>
  </si>
  <si>
    <t>RosyBrown</t>
  </si>
  <si>
    <t>RoyalBlue</t>
  </si>
  <si>
    <t>SaddleBrown</t>
  </si>
  <si>
    <t>SandyBrown</t>
  </si>
  <si>
    <t>SeaGreen</t>
  </si>
  <si>
    <t>SkyBlue</t>
  </si>
  <si>
    <t>SlateBlue</t>
  </si>
  <si>
    <t>SlateGray</t>
  </si>
  <si>
    <t>SpringGreen</t>
  </si>
  <si>
    <t>SteelBlue</t>
  </si>
  <si>
    <t>Transparent</t>
  </si>
  <si>
    <t>WhiteSmoke</t>
  </si>
  <si>
    <t>YellowGreen</t>
  </si>
  <si>
    <t>NavyBlue</t>
  </si>
  <si>
    <t>RebeccaPurple</t>
  </si>
  <si>
    <t>WebGray</t>
  </si>
  <si>
    <t>WebGreen</t>
  </si>
  <si>
    <t>WebMaroon</t>
  </si>
  <si>
    <t>WebPurple</t>
  </si>
  <si>
    <t>Serializer Light</t>
  </si>
  <si>
    <t>Serializer Medium</t>
  </si>
  <si>
    <t>Serializer Dark</t>
  </si>
  <si>
    <t>Excel Green</t>
  </si>
  <si>
    <t>#217346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</si>
</sst>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&quot;°&quot;"/>
  </numFmts>
  <fonts count="12" x14ac:knownFonts="1">
    <font>
      <sz val="11"/>
      <color theme="1"/>
      <name val="Calibri"/>
      <family val="2"/>
      <scheme val="minor"/>
    </font>
    <font>
      <b/>
      <sz val="11"/>
      <color rgb="FF202122"/>
      <name val="Arial"/>
      <family val="2"/>
    </font>
    <font>
      <sz val="11"/>
      <color rgb="FF202122"/>
      <name val="Arial"/>
      <family val="2"/>
    </font>
    <font>
      <sz val="11"/>
      <color rgb="FF202122"/>
      <name val="Courier New"/>
      <family val="3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563C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</fonts>
  <fills count="468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B03060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A020F0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663399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CD853F"/>
        <bgColor indexed="64"/>
      </patternFill>
    </fill>
    <fill>
      <patternFill patternType="lightGrid">
        <fgColor rgb="FFEAECF0"/>
        <bgColor theme="0"/>
      </patternFill>
    </fill>
    <fill>
      <patternFill patternType="solid">
        <fgColor rgb="FFEBEBEB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FFD7D7"/>
        <bgColor indexed="64"/>
      </patternFill>
    </fill>
    <fill>
      <patternFill patternType="solid">
        <fgColor rgb="FFF7DFDF"/>
        <bgColor indexed="64"/>
      </patternFill>
    </fill>
    <fill>
      <patternFill patternType="solid">
        <fgColor rgb="FFF0E6E6"/>
        <bgColor indexed="64"/>
      </patternFill>
    </fill>
    <fill>
      <patternFill patternType="solid">
        <fgColor rgb="FFFBDBDB"/>
        <bgColor indexed="64"/>
      </patternFill>
    </fill>
    <fill>
      <patternFill patternType="solid">
        <fgColor rgb="FFF6E0E0"/>
        <bgColor indexed="64"/>
      </patternFill>
    </fill>
    <fill>
      <patternFill patternType="solid">
        <fgColor rgb="FFF9DDDD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rgb="FFE78181"/>
        <bgColor indexed="64"/>
      </patternFill>
    </fill>
    <fill>
      <patternFill patternType="solid">
        <fgColor rgb="FFDC8C8C"/>
        <bgColor indexed="64"/>
      </patternFill>
    </fill>
    <fill>
      <patternFill patternType="solid">
        <fgColor rgb="FFC7A1A1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E18787"/>
        <bgColor indexed="64"/>
      </patternFill>
    </fill>
    <fill>
      <patternFill patternType="solid">
        <fgColor rgb="FFEF7979"/>
        <bgColor indexed="64"/>
      </patternFill>
    </fill>
    <fill>
      <patternFill patternType="solid">
        <fgColor rgb="FF6A4040"/>
        <bgColor indexed="64"/>
      </patternFill>
    </fill>
    <fill>
      <patternFill patternType="solid">
        <fgColor rgb="FF822828"/>
        <bgColor indexed="64"/>
      </patternFill>
    </fill>
    <fill>
      <patternFill patternType="solid">
        <fgColor rgb="FF882222"/>
        <bgColor indexed="64"/>
      </patternFill>
    </fill>
    <fill>
      <patternFill patternType="solid">
        <fgColor rgb="FF8F1B1B"/>
        <bgColor indexed="64"/>
      </patternFill>
    </fill>
    <fill>
      <patternFill patternType="solid">
        <fgColor rgb="FF981212"/>
        <bgColor indexed="64"/>
      </patternFill>
    </fill>
    <fill>
      <patternFill patternType="solid">
        <fgColor rgb="FFFFD7FF"/>
        <bgColor indexed="64"/>
      </patternFill>
    </fill>
    <fill>
      <patternFill patternType="solid">
        <fgColor rgb="FFFFE2D7"/>
        <bgColor indexed="64"/>
      </patternFill>
    </fill>
    <fill>
      <patternFill patternType="solid">
        <fgColor rgb="FFF7EBDF"/>
        <bgColor indexed="64"/>
      </patternFill>
    </fill>
    <fill>
      <patternFill patternType="solid">
        <fgColor rgb="FFFFEFD7"/>
        <bgColor indexed="64"/>
      </patternFill>
    </fill>
    <fill>
      <patternFill patternType="solid">
        <fgColor rgb="FFFDF2D9"/>
        <bgColor indexed="64"/>
      </patternFill>
    </fill>
    <fill>
      <patternFill patternType="solid">
        <fgColor rgb="FFDBDBFB"/>
        <bgColor indexed="64"/>
      </patternFill>
    </fill>
    <fill>
      <patternFill patternType="solid">
        <fgColor rgb="FFEFFFD7"/>
        <bgColor indexed="64"/>
      </patternFill>
    </fill>
    <fill>
      <patternFill patternType="solid">
        <fgColor rgb="FFD7FFD7"/>
        <bgColor indexed="64"/>
      </patternFill>
    </fill>
    <fill>
      <patternFill patternType="solid">
        <fgColor rgb="FFD7FFEB"/>
        <bgColor indexed="64"/>
      </patternFill>
    </fill>
    <fill>
      <patternFill patternType="solid">
        <fgColor rgb="FFDEF8F8"/>
        <bgColor indexed="64"/>
      </patternFill>
    </fill>
    <fill>
      <patternFill patternType="solid">
        <fgColor rgb="FFE6F0F0"/>
        <bgColor indexed="64"/>
      </patternFill>
    </fill>
    <fill>
      <patternFill patternType="solid">
        <fgColor rgb="FFE8EBEE"/>
        <bgColor indexed="64"/>
      </patternFill>
    </fill>
    <fill>
      <patternFill patternType="solid">
        <fgColor rgb="FFD7D7FF"/>
        <bgColor indexed="64"/>
      </patternFill>
    </fill>
    <fill>
      <patternFill patternType="solid">
        <fgColor rgb="FFE7DFF7"/>
        <bgColor indexed="64"/>
      </patternFill>
    </fill>
    <fill>
      <patternFill patternType="solid">
        <fgColor rgb="FFF0E6F0"/>
        <bgColor indexed="64"/>
      </patternFill>
    </fill>
    <fill>
      <patternFill patternType="solid">
        <fgColor rgb="FFFBDBEF"/>
        <bgColor indexed="64"/>
      </patternFill>
    </fill>
    <fill>
      <patternFill patternType="solid">
        <fgColor rgb="FFFFD7DD"/>
        <bgColor indexed="64"/>
      </patternFill>
    </fill>
    <fill>
      <patternFill patternType="solid">
        <fgColor rgb="FFF6ECE0"/>
        <bgColor indexed="64"/>
      </patternFill>
    </fill>
    <fill>
      <patternFill patternType="solid">
        <fgColor rgb="FFFFF1D7"/>
        <bgColor indexed="64"/>
      </patternFill>
    </fill>
    <fill>
      <patternFill patternType="solid">
        <fgColor rgb="FFDDF9F7"/>
        <bgColor indexed="64"/>
      </patternFill>
    </fill>
    <fill>
      <patternFill patternType="solid">
        <fgColor rgb="FFE5E3F3"/>
        <bgColor indexed="64"/>
      </patternFill>
    </fill>
    <fill>
      <patternFill patternType="solid">
        <fgColor rgb="FFFFD7E4"/>
        <bgColor indexed="64"/>
      </patternFill>
    </fill>
    <fill>
      <patternFill patternType="solid">
        <fgColor rgb="FFD8FED9"/>
        <bgColor indexed="64"/>
      </patternFill>
    </fill>
    <fill>
      <patternFill patternType="solid">
        <fgColor rgb="FFE0DBFB"/>
        <bgColor indexed="64"/>
      </patternFill>
    </fill>
    <fill>
      <patternFill patternType="solid">
        <fgColor rgb="FFF8EBDE"/>
        <bgColor indexed="64"/>
      </patternFill>
    </fill>
    <fill>
      <patternFill patternType="solid">
        <fgColor rgb="FFFFF0D7"/>
        <bgColor indexed="64"/>
      </patternFill>
    </fill>
    <fill>
      <patternFill patternType="solid">
        <fgColor rgb="FFFFF7D7"/>
        <bgColor indexed="64"/>
      </patternFill>
    </fill>
    <fill>
      <patternFill patternType="solid">
        <fgColor rgb="FFEBFFD7"/>
        <bgColor indexed="64"/>
      </patternFill>
    </fill>
    <fill>
      <patternFill patternType="solid">
        <fgColor rgb="FFD7FFF0"/>
        <bgColor indexed="64"/>
      </patternFill>
    </fill>
    <fill>
      <patternFill patternType="solid">
        <fgColor rgb="FFD7FFFF"/>
        <bgColor indexed="64"/>
      </patternFill>
    </fill>
    <fill>
      <patternFill patternType="solid">
        <fgColor rgb="FFE1F3F5"/>
        <bgColor indexed="64"/>
      </patternFill>
    </fill>
    <fill>
      <patternFill patternType="solid">
        <fgColor rgb="FFEBE1F5"/>
        <bgColor indexed="64"/>
      </patternFill>
    </fill>
    <fill>
      <patternFill patternType="solid">
        <fgColor rgb="FFF4E2F4"/>
        <bgColor indexed="64"/>
      </patternFill>
    </fill>
    <fill>
      <patternFill patternType="solid">
        <fgColor rgb="FFFFD7EC"/>
        <bgColor indexed="64"/>
      </patternFill>
    </fill>
    <fill>
      <patternFill patternType="solid">
        <fgColor rgb="FFFFDDD7"/>
        <bgColor indexed="64"/>
      </patternFill>
    </fill>
    <fill>
      <patternFill patternType="solid">
        <fgColor rgb="FFEFF7DF"/>
        <bgColor indexed="64"/>
      </patternFill>
    </fill>
    <fill>
      <patternFill patternType="solid">
        <fgColor rgb="FFD9EFFD"/>
        <bgColor indexed="64"/>
      </patternFill>
    </fill>
    <fill>
      <patternFill patternType="solid">
        <fgColor rgb="FFFAF1DC"/>
        <bgColor indexed="64"/>
      </patternFill>
    </fill>
    <fill>
      <patternFill patternType="solid">
        <fgColor rgb="FFDEDEF8"/>
        <bgColor indexed="64"/>
      </patternFill>
    </fill>
    <fill>
      <patternFill patternType="solid">
        <fgColor rgb="FFFFD7DE"/>
        <bgColor indexed="64"/>
      </patternFill>
    </fill>
    <fill>
      <patternFill patternType="solid">
        <fgColor rgb="FFF6E7E0"/>
        <bgColor indexed="64"/>
      </patternFill>
    </fill>
    <fill>
      <patternFill patternType="solid">
        <fgColor rgb="FFFFEDD7"/>
        <bgColor indexed="64"/>
      </patternFill>
    </fill>
    <fill>
      <patternFill patternType="solid">
        <fgColor rgb="FFFFF9D7"/>
        <bgColor indexed="64"/>
      </patternFill>
    </fill>
    <fill>
      <patternFill patternType="solid">
        <fgColor rgb="FFE1F5EE"/>
        <bgColor indexed="64"/>
      </patternFill>
    </fill>
    <fill>
      <patternFill patternType="solid">
        <fgColor rgb="FFE0F0F6"/>
        <bgColor indexed="64"/>
      </patternFill>
    </fill>
    <fill>
      <patternFill patternType="solid">
        <fgColor rgb="FFD7EBFF"/>
        <bgColor indexed="64"/>
      </patternFill>
    </fill>
    <fill>
      <patternFill patternType="solid">
        <fgColor rgb="FFECDCFA"/>
        <bgColor indexed="64"/>
      </patternFill>
    </fill>
    <fill>
      <patternFill patternType="solid">
        <fgColor rgb="FFFADCFA"/>
        <bgColor indexed="64"/>
      </patternFill>
    </fill>
    <fill>
      <patternFill patternType="solid">
        <fgColor rgb="FFFFD7EB"/>
        <bgColor indexed="64"/>
      </patternFill>
    </fill>
    <fill>
      <patternFill patternType="solid">
        <fgColor rgb="FFFFE7D7"/>
        <bgColor indexed="64"/>
      </patternFill>
    </fill>
    <fill>
      <patternFill patternType="solid">
        <fgColor rgb="FFF8F6DE"/>
        <bgColor indexed="64"/>
      </patternFill>
    </fill>
    <fill>
      <patternFill patternType="solid">
        <fgColor rgb="FFF2DFF7"/>
        <bgColor indexed="64"/>
      </patternFill>
    </fill>
    <fill>
      <patternFill patternType="solid">
        <fgColor rgb="FFFEDCD8"/>
        <bgColor indexed="64"/>
      </patternFill>
    </fill>
    <fill>
      <patternFill patternType="solid">
        <fgColor rgb="FFFAE8DC"/>
        <bgColor indexed="64"/>
      </patternFill>
    </fill>
    <fill>
      <patternFill patternType="solid">
        <fgColor rgb="FFFAF0DC"/>
        <bgColor indexed="64"/>
      </patternFill>
    </fill>
    <fill>
      <patternFill patternType="solid">
        <fgColor rgb="FFFAF7DC"/>
        <bgColor indexed="64"/>
      </patternFill>
    </fill>
    <fill>
      <patternFill patternType="solid">
        <fgColor rgb="FFE6F0E6"/>
        <bgColor indexed="64"/>
      </patternFill>
    </fill>
    <fill>
      <patternFill patternType="solid">
        <fgColor rgb="FFD7FFF2"/>
        <bgColor indexed="64"/>
      </patternFill>
    </fill>
    <fill>
      <patternFill patternType="solid">
        <fgColor rgb="FFD7F5FF"/>
        <bgColor indexed="64"/>
      </patternFill>
    </fill>
    <fill>
      <patternFill patternType="solid">
        <fgColor rgb="FFE3EAF3"/>
        <bgColor indexed="64"/>
      </patternFill>
    </fill>
    <fill>
      <patternFill patternType="solid">
        <fgColor rgb="FFEED7FF"/>
        <bgColor indexed="64"/>
      </patternFill>
    </fill>
    <fill>
      <patternFill patternType="solid">
        <fgColor rgb="FFF6E0E8"/>
        <bgColor indexed="64"/>
      </patternFill>
    </fill>
    <fill>
      <patternFill patternType="solid">
        <fgColor rgb="FFE1F5EA"/>
        <bgColor indexed="64"/>
      </patternFill>
    </fill>
    <fill>
      <patternFill patternType="solid">
        <fgColor rgb="FFEFDFF7"/>
        <bgColor indexed="64"/>
      </patternFill>
    </fill>
    <fill>
      <patternFill patternType="solid">
        <fgColor rgb="FFD7FEFF"/>
        <bgColor indexed="64"/>
      </patternFill>
    </fill>
    <fill>
      <patternFill patternType="solid">
        <fgColor rgb="FFFFDBD7"/>
        <bgColor indexed="64"/>
      </patternFill>
    </fill>
    <fill>
      <patternFill patternType="solid">
        <fgColor rgb="FFF4ECE2"/>
        <bgColor indexed="64"/>
      </patternFill>
    </fill>
    <fill>
      <patternFill patternType="solid">
        <fgColor rgb="FFFCF0DA"/>
        <bgColor indexed="64"/>
      </patternFill>
    </fill>
    <fill>
      <patternFill patternType="solid">
        <fgColor rgb="FFFFFBD7"/>
        <bgColor indexed="64"/>
      </patternFill>
    </fill>
    <fill>
      <patternFill patternType="solid">
        <fgColor rgb="FFDFF7DF"/>
        <bgColor indexed="64"/>
      </patternFill>
    </fill>
    <fill>
      <patternFill patternType="solid">
        <fgColor rgb="FFDDF1F9"/>
        <bgColor indexed="64"/>
      </patternFill>
    </fill>
    <fill>
      <patternFill patternType="solid">
        <fgColor rgb="FFDBE6FB"/>
        <bgColor indexed="64"/>
      </patternFill>
    </fill>
    <fill>
      <patternFill patternType="solid">
        <fgColor rgb="FFEFDAFC"/>
        <bgColor indexed="64"/>
      </patternFill>
    </fill>
    <fill>
      <patternFill patternType="solid">
        <fgColor rgb="FFF7DFE7"/>
        <bgColor indexed="64"/>
      </patternFill>
    </fill>
    <fill>
      <patternFill patternType="solid">
        <fgColor rgb="FFDCE4FA"/>
        <bgColor indexed="64"/>
      </patternFill>
    </fill>
    <fill>
      <patternFill patternType="solid">
        <fgColor rgb="FFE0E0F6"/>
        <bgColor indexed="64"/>
      </patternFill>
    </fill>
    <fill>
      <patternFill patternType="solid">
        <fgColor rgb="FFD7ECFF"/>
        <bgColor indexed="64"/>
      </patternFill>
    </fill>
    <fill>
      <patternFill patternType="solid">
        <fgColor rgb="FFF9E4DD"/>
        <bgColor indexed="64"/>
      </patternFill>
    </fill>
    <fill>
      <patternFill patternType="solid">
        <fgColor rgb="FFFCEADA"/>
        <bgColor indexed="64"/>
      </patternFill>
    </fill>
    <fill>
      <patternFill patternType="solid">
        <fgColor rgb="FFFBEDDB"/>
        <bgColor indexed="64"/>
      </patternFill>
    </fill>
    <fill>
      <patternFill patternType="solid">
        <fgColor rgb="FFFFF2D7"/>
        <bgColor indexed="64"/>
      </patternFill>
    </fill>
    <fill>
      <patternFill patternType="solid">
        <fgColor rgb="FFF3F2E3"/>
        <bgColor indexed="64"/>
      </patternFill>
    </fill>
    <fill>
      <patternFill patternType="solid">
        <fgColor rgb="FFDCFADC"/>
        <bgColor indexed="64"/>
      </patternFill>
    </fill>
    <fill>
      <patternFill patternType="solid">
        <fgColor rgb="FFDFF7F6"/>
        <bgColor indexed="64"/>
      </patternFill>
    </fill>
    <fill>
      <patternFill patternType="solid">
        <fgColor rgb="FFE2ECF4"/>
        <bgColor indexed="64"/>
      </patternFill>
    </fill>
    <fill>
      <patternFill patternType="solid">
        <fgColor rgb="FFE3E0F6"/>
        <bgColor indexed="64"/>
      </patternFill>
    </fill>
    <fill>
      <patternFill patternType="solid">
        <fgColor rgb="FFF3D7FF"/>
        <bgColor indexed="64"/>
      </patternFill>
    </fill>
    <fill>
      <patternFill patternType="solid">
        <fgColor rgb="FFFCDAE1"/>
        <bgColor indexed="64"/>
      </patternFill>
    </fill>
    <fill>
      <patternFill patternType="solid">
        <fgColor rgb="FFFFEAD7"/>
        <bgColor indexed="64"/>
      </patternFill>
    </fill>
    <fill>
      <patternFill patternType="solid">
        <fgColor rgb="FFEDF3E3"/>
        <bgColor indexed="64"/>
      </patternFill>
    </fill>
    <fill>
      <patternFill patternType="solid">
        <fgColor rgb="FFF7DFF6"/>
        <bgColor indexed="64"/>
      </patternFill>
    </fill>
    <fill>
      <patternFill patternType="solid">
        <fgColor rgb="FFFF9169"/>
        <bgColor indexed="64"/>
      </patternFill>
    </fill>
    <fill>
      <patternFill patternType="solid">
        <fgColor rgb="FFFF9469"/>
        <bgColor indexed="64"/>
      </patternFill>
    </fill>
    <fill>
      <patternFill patternType="solid">
        <fgColor rgb="FFE6B482"/>
        <bgColor indexed="64"/>
      </patternFill>
    </fill>
    <fill>
      <patternFill patternType="solid">
        <fgColor rgb="FFFFC669"/>
        <bgColor indexed="64"/>
      </patternFill>
    </fill>
    <fill>
      <patternFill patternType="solid">
        <fgColor rgb="FFFFE169"/>
        <bgColor indexed="64"/>
      </patternFill>
    </fill>
    <fill>
      <patternFill patternType="solid">
        <fgColor rgb="FF6969FF"/>
        <bgColor indexed="64"/>
      </patternFill>
    </fill>
    <fill>
      <patternFill patternType="solid">
        <fgColor rgb="FFB3FF69"/>
        <bgColor indexed="64"/>
      </patternFill>
    </fill>
    <fill>
      <patternFill patternType="solid">
        <fgColor rgb="FF69FF69"/>
        <bgColor indexed="64"/>
      </patternFill>
    </fill>
    <fill>
      <patternFill patternType="solid">
        <fgColor rgb="FF69FFC6"/>
        <bgColor indexed="64"/>
      </patternFill>
    </fill>
    <fill>
      <patternFill patternType="solid">
        <fgColor rgb="FF69FEFF"/>
        <bgColor indexed="64"/>
      </patternFill>
    </fill>
    <fill>
      <patternFill patternType="solid">
        <fgColor rgb="FF8DD2DB"/>
        <bgColor indexed="64"/>
      </patternFill>
    </fill>
    <fill>
      <patternFill patternType="solid">
        <fgColor rgb="FFA9B4BF"/>
        <bgColor indexed="64"/>
      </patternFill>
    </fill>
    <fill>
      <patternFill patternType="solid">
        <fgColor rgb="FFB48FDA"/>
        <bgColor indexed="64"/>
      </patternFill>
    </fill>
    <fill>
      <patternFill patternType="solid">
        <fgColor rgb="FFD791D7"/>
        <bgColor indexed="64"/>
      </patternFill>
    </fill>
    <fill>
      <patternFill patternType="solid">
        <fgColor rgb="FFFF69B9"/>
        <bgColor indexed="64"/>
      </patternFill>
    </fill>
    <fill>
      <patternFill patternType="solid">
        <fgColor rgb="FFFFBB69"/>
        <bgColor indexed="64"/>
      </patternFill>
    </fill>
    <fill>
      <patternFill patternType="solid">
        <fgColor rgb="FFFFE769"/>
        <bgColor indexed="64"/>
      </patternFill>
    </fill>
    <fill>
      <patternFill patternType="solid">
        <fgColor rgb="FF8EDAC0"/>
        <bgColor indexed="64"/>
      </patternFill>
    </fill>
    <fill>
      <patternFill patternType="solid">
        <fgColor rgb="FF8CC8DC"/>
        <bgColor indexed="64"/>
      </patternFill>
    </fill>
    <fill>
      <patternFill patternType="solid">
        <fgColor rgb="FFB67BED"/>
        <bgColor indexed="64"/>
      </patternFill>
    </fill>
    <fill>
      <patternFill patternType="solid">
        <fgColor rgb="FFFF69B3"/>
        <bgColor indexed="64"/>
      </patternFill>
    </fill>
    <fill>
      <patternFill patternType="solid">
        <fgColor rgb="FFFF69FE"/>
        <bgColor indexed="64"/>
      </patternFill>
    </fill>
    <fill>
      <patternFill patternType="solid">
        <fgColor rgb="FF69B8FF"/>
        <bgColor indexed="64"/>
      </patternFill>
    </fill>
    <fill>
      <patternFill patternType="solid">
        <fgColor rgb="FFC4FF69"/>
        <bgColor indexed="64"/>
      </patternFill>
    </fill>
    <fill>
      <patternFill patternType="solid">
        <fgColor rgb="FFA487E1"/>
        <bgColor indexed="64"/>
      </patternFill>
    </fill>
    <fill>
      <patternFill patternType="solid">
        <fgColor rgb="FFDEA58A"/>
        <bgColor indexed="64"/>
      </patternFill>
    </fill>
    <fill>
      <patternFill patternType="solid">
        <fgColor rgb="FFFFC869"/>
        <bgColor indexed="64"/>
      </patternFill>
    </fill>
    <fill>
      <patternFill patternType="solid">
        <fgColor rgb="FF69B4FF"/>
        <bgColor indexed="64"/>
      </patternFill>
    </fill>
    <fill>
      <patternFill patternType="solid">
        <fgColor rgb="FFED7BEC"/>
        <bgColor indexed="64"/>
      </patternFill>
    </fill>
    <fill>
      <patternFill patternType="solid">
        <fgColor rgb="FFC387E1"/>
        <bgColor indexed="64"/>
      </patternFill>
    </fill>
    <fill>
      <patternFill patternType="solid">
        <fgColor rgb="FFCE88E0"/>
        <bgColor indexed="64"/>
      </patternFill>
    </fill>
    <fill>
      <patternFill patternType="solid">
        <fgColor rgb="FF7878F0"/>
        <bgColor indexed="64"/>
      </patternFill>
    </fill>
    <fill>
      <patternFill patternType="solid">
        <fgColor rgb="FFA1C6C7"/>
        <bgColor indexed="64"/>
      </patternFill>
    </fill>
    <fill>
      <patternFill patternType="solid">
        <fgColor rgb="FFFA7D6E"/>
        <bgColor indexed="64"/>
      </patternFill>
    </fill>
    <fill>
      <patternFill patternType="solid">
        <fgColor rgb="FFECAB7C"/>
        <bgColor indexed="64"/>
      </patternFill>
    </fill>
    <fill>
      <patternFill patternType="solid">
        <fgColor rgb="FFFFBA69"/>
        <bgColor indexed="64"/>
      </patternFill>
    </fill>
    <fill>
      <patternFill patternType="solid">
        <fgColor rgb="FFEEC57A"/>
        <bgColor indexed="64"/>
      </patternFill>
    </fill>
    <fill>
      <patternFill patternType="solid">
        <fgColor rgb="FFEEE27A"/>
        <bgColor indexed="64"/>
      </patternFill>
    </fill>
    <fill>
      <patternFill patternType="solid">
        <fgColor rgb="FFA1C7A1"/>
        <bgColor indexed="64"/>
      </patternFill>
    </fill>
    <fill>
      <patternFill patternType="solid">
        <fgColor rgb="FF69FFCD"/>
        <bgColor indexed="64"/>
      </patternFill>
    </fill>
    <fill>
      <patternFill patternType="solid">
        <fgColor rgb="FF69D9FF"/>
        <bgColor indexed="64"/>
      </patternFill>
    </fill>
    <fill>
      <patternFill patternType="solid">
        <fgColor rgb="FF95B0D3"/>
        <bgColor indexed="64"/>
      </patternFill>
    </fill>
    <fill>
      <patternFill patternType="solid">
        <fgColor rgb="FFBF69FF"/>
        <bgColor indexed="64"/>
      </patternFill>
    </fill>
    <fill>
      <patternFill patternType="solid">
        <fgColor rgb="FFDF89A9"/>
        <bgColor indexed="64"/>
      </patternFill>
    </fill>
    <fill>
      <patternFill patternType="solid">
        <fgColor rgb="FFFF8069"/>
        <bgColor indexed="64"/>
      </patternFill>
    </fill>
    <fill>
      <patternFill patternType="solid">
        <fgColor rgb="FFDFB989"/>
        <bgColor indexed="64"/>
      </patternFill>
    </fill>
    <fill>
      <patternFill patternType="solid">
        <fgColor rgb="FFE6DD82"/>
        <bgColor indexed="64"/>
      </patternFill>
    </fill>
    <fill>
      <patternFill patternType="solid">
        <fgColor rgb="FF86E287"/>
        <bgColor indexed="64"/>
      </patternFill>
    </fill>
    <fill>
      <patternFill patternType="solid">
        <fgColor rgb="FF80E8E3"/>
        <bgColor indexed="64"/>
      </patternFill>
    </fill>
    <fill>
      <patternFill patternType="solid">
        <fgColor rgb="FF6FC4F9"/>
        <bgColor indexed="64"/>
      </patternFill>
    </fill>
    <fill>
      <patternFill patternType="solid">
        <fgColor rgb="FF9F97D1"/>
        <bgColor indexed="64"/>
      </patternFill>
    </fill>
    <fill>
      <patternFill patternType="solid">
        <fgColor rgb="FF69FCFF"/>
        <bgColor indexed="64"/>
      </patternFill>
    </fill>
    <fill>
      <patternFill patternType="solid">
        <fgColor rgb="FFE088DC"/>
        <bgColor indexed="64"/>
      </patternFill>
    </fill>
    <fill>
      <patternFill patternType="solid">
        <fgColor rgb="FFE0B388"/>
        <bgColor indexed="64"/>
      </patternFill>
    </fill>
    <fill>
      <patternFill patternType="solid">
        <fgColor rgb="FFF177C3"/>
        <bgColor indexed="64"/>
      </patternFill>
    </fill>
    <fill>
      <patternFill patternType="solid">
        <fgColor rgb="FFFF7869"/>
        <bgColor indexed="64"/>
      </patternFill>
    </fill>
    <fill>
      <patternFill patternType="solid">
        <fgColor rgb="FFEDAB7B"/>
        <bgColor indexed="64"/>
      </patternFill>
    </fill>
    <fill>
      <patternFill patternType="solid">
        <fgColor rgb="FFD5B993"/>
        <bgColor indexed="64"/>
      </patternFill>
    </fill>
    <fill>
      <patternFill patternType="solid">
        <fgColor rgb="FFF4C774"/>
        <bgColor indexed="64"/>
      </patternFill>
    </fill>
    <fill>
      <patternFill patternType="solid">
        <fgColor rgb="FFFFF069"/>
        <bgColor indexed="64"/>
      </patternFill>
    </fill>
    <fill>
      <patternFill patternType="solid">
        <fgColor rgb="FF7EEADF"/>
        <bgColor indexed="64"/>
      </patternFill>
    </fill>
    <fill>
      <patternFill patternType="solid">
        <fgColor rgb="FF7ECAEA"/>
        <bgColor indexed="64"/>
      </patternFill>
    </fill>
    <fill>
      <patternFill patternType="solid">
        <fgColor rgb="FF79A3EF"/>
        <bgColor indexed="64"/>
      </patternFill>
    </fill>
    <fill>
      <patternFill patternType="solid">
        <fgColor rgb="FFC372F6"/>
        <bgColor indexed="64"/>
      </patternFill>
    </fill>
    <fill>
      <patternFill patternType="solid">
        <fgColor rgb="FFE187A4"/>
        <bgColor indexed="64"/>
      </patternFill>
    </fill>
    <fill>
      <patternFill patternType="solid">
        <fgColor rgb="FFFFA769"/>
        <bgColor indexed="64"/>
      </patternFill>
    </fill>
    <fill>
      <patternFill patternType="solid">
        <fgColor rgb="FFFFCA69"/>
        <bgColor indexed="64"/>
      </patternFill>
    </fill>
    <fill>
      <patternFill patternType="solid">
        <fgColor rgb="FFC3E187"/>
        <bgColor indexed="64"/>
      </patternFill>
    </fill>
    <fill>
      <patternFill patternType="solid">
        <fgColor rgb="FF8EDAB0"/>
        <bgColor indexed="64"/>
      </patternFill>
    </fill>
    <fill>
      <patternFill patternType="solid">
        <fgColor rgb="FF7D98EB"/>
        <bgColor indexed="64"/>
      </patternFill>
    </fill>
    <fill>
      <patternFill patternType="solid">
        <fgColor rgb="FFFF699A"/>
        <bgColor indexed="64"/>
      </patternFill>
    </fill>
    <fill>
      <patternFill patternType="solid">
        <fgColor rgb="FF8978F0"/>
        <bgColor indexed="64"/>
      </patternFill>
    </fill>
    <fill>
      <patternFill patternType="solid">
        <fgColor rgb="FFFF6982"/>
        <bgColor indexed="64"/>
      </patternFill>
    </fill>
    <fill>
      <patternFill patternType="solid">
        <fgColor rgb="FFFFC369"/>
        <bgColor indexed="64"/>
      </patternFill>
    </fill>
    <fill>
      <patternFill patternType="solid">
        <fgColor rgb="FF83E4E5"/>
        <bgColor indexed="64"/>
      </patternFill>
    </fill>
    <fill>
      <patternFill patternType="solid">
        <fgColor rgb="FFC6A2C6"/>
        <bgColor indexed="64"/>
      </patternFill>
    </fill>
    <fill>
      <patternFill patternType="solid">
        <fgColor rgb="FFEA997E"/>
        <bgColor indexed="64"/>
      </patternFill>
    </fill>
    <fill>
      <patternFill patternType="solid">
        <fgColor rgb="FFF5AF73"/>
        <bgColor indexed="64"/>
      </patternFill>
    </fill>
    <fill>
      <patternFill patternType="solid">
        <fgColor rgb="FFEEBC7A"/>
        <bgColor indexed="64"/>
      </patternFill>
    </fill>
    <fill>
      <patternFill patternType="solid">
        <fgColor rgb="FFFFCD69"/>
        <bgColor indexed="64"/>
      </patternFill>
    </fill>
    <fill>
      <patternFill patternType="solid">
        <fgColor rgb="FFD1CD97"/>
        <bgColor indexed="64"/>
      </patternFill>
    </fill>
    <fill>
      <patternFill patternType="solid">
        <fgColor rgb="FFC3E286"/>
        <bgColor indexed="64"/>
      </patternFill>
    </fill>
    <fill>
      <patternFill patternType="solid">
        <fgColor rgb="FF7DEB7D"/>
        <bgColor indexed="64"/>
      </patternFill>
    </fill>
    <fill>
      <patternFill patternType="solid">
        <fgColor rgb="FF8FD9B0"/>
        <bgColor indexed="64"/>
      </patternFill>
    </fill>
    <fill>
      <patternFill patternType="solid">
        <fgColor rgb="FF87E1DE"/>
        <bgColor indexed="64"/>
      </patternFill>
    </fill>
    <fill>
      <patternFill patternType="solid">
        <fgColor rgb="FF93B7D5"/>
        <bgColor indexed="64"/>
      </patternFill>
    </fill>
    <fill>
      <patternFill patternType="solid">
        <fgColor rgb="FF8484E4"/>
        <bgColor indexed="64"/>
      </patternFill>
    </fill>
    <fill>
      <patternFill patternType="solid">
        <fgColor rgb="FF978CDC"/>
        <bgColor indexed="64"/>
      </patternFill>
    </fill>
    <fill>
      <patternFill patternType="solid">
        <fgColor rgb="FFD269FF"/>
        <bgColor indexed="64"/>
      </patternFill>
    </fill>
    <fill>
      <patternFill patternType="solid">
        <fgColor rgb="FFF3768E"/>
        <bgColor indexed="64"/>
      </patternFill>
    </fill>
    <fill>
      <patternFill patternType="solid">
        <fgColor rgb="FFFF9269"/>
        <bgColor indexed="64"/>
      </patternFill>
    </fill>
    <fill>
      <patternFill patternType="solid">
        <fgColor rgb="FFFFB069"/>
        <bgColor indexed="64"/>
      </patternFill>
    </fill>
    <fill>
      <patternFill patternType="solid">
        <fgColor rgb="FFECCC7C"/>
        <bgColor indexed="64"/>
      </patternFill>
    </fill>
    <fill>
      <patternFill patternType="solid">
        <fgColor rgb="FF8A8ADE"/>
        <bgColor indexed="64"/>
      </patternFill>
    </fill>
    <fill>
      <patternFill patternType="solid">
        <fgColor rgb="FFBCD197"/>
        <bgColor indexed="64"/>
      </patternFill>
    </fill>
    <fill>
      <patternFill patternType="solid">
        <fgColor rgb="FF6EF96F"/>
        <bgColor indexed="64"/>
      </patternFill>
    </fill>
    <fill>
      <patternFill patternType="solid">
        <fgColor rgb="FF69FFB4"/>
        <bgColor indexed="64"/>
      </patternFill>
    </fill>
    <fill>
      <patternFill patternType="solid">
        <fgColor rgb="FFA1C7C7"/>
        <bgColor indexed="64"/>
      </patternFill>
    </fill>
    <fill>
      <patternFill patternType="solid">
        <fgColor rgb="FF8282E6"/>
        <bgColor indexed="64"/>
      </patternFill>
    </fill>
    <fill>
      <patternFill patternType="solid">
        <fgColor rgb="FFF7D071"/>
        <bgColor indexed="64"/>
      </patternFill>
    </fill>
    <fill>
      <patternFill patternType="solid">
        <fgColor rgb="FFABB4BD"/>
        <bgColor indexed="64"/>
      </patternFill>
    </fill>
    <fill>
      <patternFill patternType="solid">
        <fgColor rgb="FFFF697F"/>
        <bgColor indexed="64"/>
      </patternFill>
    </fill>
    <fill>
      <patternFill patternType="solid">
        <fgColor rgb="FFAA2E00"/>
        <bgColor indexed="64"/>
      </patternFill>
    </fill>
    <fill>
      <patternFill patternType="solid">
        <fgColor rgb="FF875423"/>
        <bgColor indexed="64"/>
      </patternFill>
    </fill>
    <fill>
      <patternFill patternType="solid">
        <fgColor rgb="FFAA6600"/>
        <bgColor indexed="64"/>
      </patternFill>
    </fill>
    <fill>
      <patternFill patternType="solid">
        <fgColor rgb="FFA0750A"/>
        <bgColor indexed="64"/>
      </patternFill>
    </fill>
    <fill>
      <patternFill patternType="solid">
        <fgColor rgb="FF111199"/>
        <bgColor indexed="64"/>
      </patternFill>
    </fill>
    <fill>
      <patternFill patternType="solid">
        <fgColor rgb="FF67AA00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00AA55"/>
        <bgColor indexed="64"/>
      </patternFill>
    </fill>
    <fill>
      <patternFill patternType="solid">
        <fgColor rgb="FF1E8C8C"/>
        <bgColor indexed="64"/>
      </patternFill>
    </fill>
    <fill>
      <patternFill patternType="solid">
        <fgColor rgb="FF3F696B"/>
        <bgColor indexed="64"/>
      </patternFill>
    </fill>
    <fill>
      <patternFill patternType="solid">
        <fgColor rgb="FF4A5560"/>
        <bgColor indexed="64"/>
      </patternFill>
    </fill>
    <fill>
      <patternFill patternType="solid">
        <fgColor rgb="FF0000AA"/>
        <bgColor indexed="64"/>
      </patternFill>
    </fill>
    <fill>
      <patternFill patternType="solid">
        <fgColor rgb="FF432288"/>
        <bgColor indexed="64"/>
      </patternFill>
    </fill>
    <fill>
      <patternFill patternType="solid">
        <fgColor rgb="FF6A4069"/>
        <bgColor indexed="64"/>
      </patternFill>
    </fill>
    <fill>
      <patternFill patternType="solid">
        <fgColor rgb="FF9A1066"/>
        <bgColor indexed="64"/>
      </patternFill>
    </fill>
    <fill>
      <patternFill patternType="solid">
        <fgColor rgb="FFAA0019"/>
        <bgColor indexed="64"/>
      </patternFill>
    </fill>
    <fill>
      <patternFill patternType="solid">
        <fgColor rgb="FFAA6E00"/>
        <bgColor indexed="64"/>
      </patternFill>
    </fill>
    <fill>
      <patternFill patternType="solid">
        <fgColor rgb="FF2A8050"/>
        <bgColor indexed="64"/>
      </patternFill>
    </fill>
    <fill>
      <patternFill patternType="solid">
        <fgColor rgb="FF173693"/>
        <bgColor indexed="64"/>
      </patternFill>
    </fill>
    <fill>
      <patternFill patternType="solid">
        <fgColor rgb="FF662189"/>
        <bgColor indexed="64"/>
      </patternFill>
    </fill>
    <fill>
      <patternFill patternType="solid">
        <fgColor rgb="FFAA3100"/>
        <bgColor indexed="64"/>
      </patternFill>
    </fill>
    <fill>
      <patternFill patternType="solid">
        <fgColor rgb="FF8E551C"/>
        <bgColor indexed="64"/>
      </patternFill>
    </fill>
    <fill>
      <patternFill patternType="solid">
        <fgColor rgb="FFAA6900"/>
        <bgColor indexed="64"/>
      </patternFill>
    </fill>
    <fill>
      <patternFill patternType="solid">
        <fgColor rgb="FFAA8800"/>
        <bgColor indexed="64"/>
      </patternFill>
    </fill>
    <fill>
      <patternFill patternType="solid">
        <fgColor rgb="FF53AA00"/>
        <bgColor indexed="64"/>
      </patternFill>
    </fill>
    <fill>
      <patternFill patternType="solid">
        <fgColor rgb="FF00AA69"/>
        <bgColor indexed="64"/>
      </patternFill>
    </fill>
    <fill>
      <patternFill patternType="solid">
        <fgColor rgb="FF00A9AA"/>
        <bgColor indexed="64"/>
      </patternFill>
    </fill>
    <fill>
      <patternFill patternType="solid">
        <fgColor rgb="FF297781"/>
        <bgColor indexed="64"/>
      </patternFill>
    </fill>
    <fill>
      <patternFill patternType="solid">
        <fgColor rgb="FF495561"/>
        <bgColor indexed="64"/>
      </patternFill>
    </fill>
    <fill>
      <patternFill patternType="solid">
        <fgColor rgb="FF552B7F"/>
        <bgColor indexed="64"/>
      </patternFill>
    </fill>
    <fill>
      <patternFill patternType="solid">
        <fgColor rgb="FF7D2D7D"/>
        <bgColor indexed="64"/>
      </patternFill>
    </fill>
    <fill>
      <patternFill patternType="solid">
        <fgColor rgb="FFAA005B"/>
        <bgColor indexed="64"/>
      </patternFill>
    </fill>
    <fill>
      <patternFill patternType="solid">
        <fgColor rgb="FF862448"/>
        <bgColor indexed="64"/>
      </patternFill>
    </fill>
    <fill>
      <patternFill patternType="solid">
        <fgColor rgb="FFAA1A00"/>
        <bgColor indexed="64"/>
      </patternFill>
    </fill>
    <fill>
      <patternFill patternType="solid">
        <fgColor rgb="FF678822"/>
        <bgColor indexed="64"/>
      </patternFill>
    </fill>
    <fill>
      <patternFill patternType="solid">
        <fgColor rgb="FFAA0038"/>
        <bgColor indexed="64"/>
      </patternFill>
    </fill>
    <fill>
      <patternFill patternType="solid">
        <fgColor rgb="FF854425"/>
        <bgColor indexed="64"/>
      </patternFill>
    </fill>
    <fill>
      <patternFill patternType="solid">
        <fgColor rgb="FFAA5D00"/>
        <bgColor indexed="64"/>
      </patternFill>
    </fill>
    <fill>
      <patternFill patternType="solid">
        <fgColor rgb="FFAA6C00"/>
        <bgColor indexed="64"/>
      </patternFill>
    </fill>
    <fill>
      <patternFill patternType="solid">
        <fgColor rgb="FFAA8F00"/>
        <bgColor indexed="64"/>
      </patternFill>
    </fill>
    <fill>
      <patternFill patternType="solid">
        <fgColor rgb="FF54AA00"/>
        <bgColor indexed="64"/>
      </patternFill>
    </fill>
    <fill>
      <patternFill patternType="solid">
        <fgColor rgb="FF2A8063"/>
        <bgColor indexed="64"/>
      </patternFill>
    </fill>
    <fill>
      <patternFill patternType="solid">
        <fgColor rgb="FF286C82"/>
        <bgColor indexed="64"/>
      </patternFill>
    </fill>
    <fill>
      <patternFill patternType="solid">
        <fgColor rgb="FF0055AA"/>
        <bgColor indexed="64"/>
      </patternFill>
    </fill>
    <fill>
      <patternFill patternType="solid">
        <fgColor rgb="FF571496"/>
        <bgColor indexed="64"/>
      </patternFill>
    </fill>
    <fill>
      <patternFill patternType="solid">
        <fgColor rgb="FF951495"/>
        <bgColor indexed="64"/>
      </patternFill>
    </fill>
    <fill>
      <patternFill patternType="solid">
        <fgColor rgb="FFAA0054"/>
        <bgColor indexed="64"/>
      </patternFill>
    </fill>
    <fill>
      <patternFill patternType="solid">
        <fgColor rgb="FFAA00A9"/>
        <bgColor indexed="64"/>
      </patternFill>
    </fill>
    <fill>
      <patternFill patternType="solid">
        <fgColor rgb="FFAA4600"/>
        <bgColor indexed="64"/>
      </patternFill>
    </fill>
    <fill>
      <patternFill patternType="solid">
        <fgColor rgb="FF8E841C"/>
        <bgColor indexed="64"/>
      </patternFill>
    </fill>
    <fill>
      <patternFill patternType="solid">
        <fgColor rgb="FF1A908A"/>
        <bgColor indexed="64"/>
      </patternFill>
    </fill>
    <fill>
      <patternFill patternType="solid">
        <fgColor rgb="FF3D3476"/>
        <bgColor indexed="64"/>
      </patternFill>
    </fill>
    <fill>
      <patternFill patternType="solid">
        <fgColor rgb="FF732387"/>
        <bgColor indexed="64"/>
      </patternFill>
    </fill>
    <fill>
      <patternFill patternType="solid">
        <fgColor rgb="FFA41606"/>
        <bgColor indexed="64"/>
      </patternFill>
    </fill>
    <fill>
      <patternFill patternType="solid">
        <fgColor rgb="FF954A15"/>
        <bgColor indexed="64"/>
      </patternFill>
    </fill>
    <fill>
      <patternFill patternType="solid">
        <fgColor rgb="FFAA5C00"/>
        <bgColor indexed="64"/>
      </patternFill>
    </fill>
    <fill>
      <patternFill patternType="solid">
        <fgColor rgb="FF966914"/>
        <bgColor indexed="64"/>
      </patternFill>
    </fill>
    <fill>
      <patternFill patternType="solid">
        <fgColor rgb="FF968914"/>
        <bgColor indexed="64"/>
      </patternFill>
    </fill>
    <fill>
      <patternFill patternType="solid">
        <fgColor rgb="FF406A40"/>
        <bgColor indexed="64"/>
      </patternFill>
    </fill>
    <fill>
      <patternFill patternType="solid">
        <fgColor rgb="FF00AA71"/>
        <bgColor indexed="64"/>
      </patternFill>
    </fill>
    <fill>
      <patternFill patternType="solid">
        <fgColor rgb="FF007FAA"/>
        <bgColor indexed="64"/>
      </patternFill>
    </fill>
    <fill>
      <patternFill patternType="solid">
        <fgColor rgb="FF325078"/>
        <bgColor indexed="64"/>
      </patternFill>
    </fill>
    <fill>
      <patternFill patternType="solid">
        <fgColor rgb="FF6200AA"/>
        <bgColor indexed="64"/>
      </patternFill>
    </fill>
    <fill>
      <patternFill patternType="solid">
        <fgColor rgb="FFAA1100"/>
        <bgColor indexed="64"/>
      </patternFill>
    </fill>
    <fill>
      <patternFill patternType="solid">
        <fgColor rgb="FF964A14"/>
        <bgColor indexed="64"/>
      </patternFill>
    </fill>
    <fill>
      <patternFill patternType="solid">
        <fgColor rgb="FF7A5A30"/>
        <bgColor indexed="64"/>
      </patternFill>
    </fill>
    <fill>
      <patternFill patternType="solid">
        <fgColor rgb="FF9D6B0D"/>
        <bgColor indexed="64"/>
      </patternFill>
    </fill>
    <fill>
      <patternFill patternType="solid">
        <fgColor rgb="FFAA9900"/>
        <bgColor indexed="64"/>
      </patternFill>
    </fill>
    <fill>
      <patternFill patternType="solid">
        <fgColor rgb="FF218922"/>
        <bgColor indexed="64"/>
      </patternFill>
    </fill>
    <fill>
      <patternFill patternType="solid">
        <fgColor rgb="FF189286"/>
        <bgColor indexed="64"/>
      </patternFill>
    </fill>
    <fill>
      <patternFill patternType="solid">
        <fgColor rgb="FF186E92"/>
        <bgColor indexed="64"/>
      </patternFill>
    </fill>
    <fill>
      <patternFill patternType="solid">
        <fgColor rgb="FF124198"/>
        <bgColor indexed="64"/>
      </patternFill>
    </fill>
    <fill>
      <patternFill patternType="solid">
        <fgColor rgb="FF660B9F"/>
        <bgColor indexed="64"/>
      </patternFill>
    </fill>
    <fill>
      <patternFill patternType="solid">
        <fgColor rgb="FF882243"/>
        <bgColor indexed="64"/>
      </patternFill>
    </fill>
    <fill>
      <patternFill patternType="solid">
        <fgColor rgb="FF855B25"/>
        <bgColor indexed="64"/>
      </patternFill>
    </fill>
    <fill>
      <patternFill patternType="solid">
        <fgColor rgb="FF0767A3"/>
        <bgColor indexed="64"/>
      </patternFill>
    </fill>
    <fill>
      <patternFill patternType="solid">
        <fgColor rgb="FF923718"/>
        <bgColor indexed="64"/>
      </patternFill>
    </fill>
    <fill>
      <patternFill patternType="solid">
        <fgColor rgb="FF9F4F0B"/>
        <bgColor indexed="64"/>
      </patternFill>
    </fill>
    <fill>
      <patternFill patternType="solid">
        <fgColor rgb="FF975E13"/>
        <bgColor indexed="64"/>
      </patternFill>
    </fill>
    <fill>
      <patternFill patternType="solid">
        <fgColor rgb="FFAA7100"/>
        <bgColor indexed="64"/>
      </patternFill>
    </fill>
    <fill>
      <patternFill patternType="solid">
        <fgColor rgb="FF767134"/>
        <bgColor indexed="64"/>
      </patternFill>
    </fill>
    <fill>
      <patternFill patternType="solid">
        <fgColor rgb="FF668921"/>
        <bgColor indexed="64"/>
      </patternFill>
    </fill>
    <fill>
      <patternFill patternType="solid">
        <fgColor rgb="FF169317"/>
        <bgColor indexed="64"/>
      </patternFill>
    </fill>
    <fill>
      <patternFill patternType="solid">
        <fgColor rgb="FF2B7F51"/>
        <bgColor indexed="64"/>
      </patternFill>
    </fill>
    <fill>
      <patternFill patternType="solid">
        <fgColor rgb="FF228884"/>
        <bgColor indexed="64"/>
      </patternFill>
    </fill>
    <fill>
      <patternFill patternType="solid">
        <fgColor rgb="FF30587A"/>
        <bgColor indexed="64"/>
      </patternFill>
    </fill>
    <fill>
      <patternFill patternType="solid">
        <fgColor rgb="FF1F1F8B"/>
        <bgColor indexed="64"/>
      </patternFill>
    </fill>
    <fill>
      <patternFill patternType="solid">
        <fgColor rgb="FF342882"/>
        <bgColor indexed="64"/>
      </patternFill>
    </fill>
    <fill>
      <patternFill patternType="solid">
        <fgColor rgb="FF7700AA"/>
        <bgColor indexed="64"/>
      </patternFill>
    </fill>
    <fill>
      <patternFill patternType="solid">
        <fgColor rgb="FF9C0E2A"/>
        <bgColor indexed="64"/>
      </patternFill>
    </fill>
    <fill>
      <patternFill patternType="solid">
        <fgColor rgb="FF262684"/>
        <bgColor indexed="64"/>
      </patternFill>
    </fill>
    <fill>
      <patternFill patternType="solid">
        <fgColor rgb="FF06A407"/>
        <bgColor indexed="64"/>
      </patternFill>
    </fill>
    <fill>
      <patternFill patternType="solid">
        <fgColor rgb="FF00A7AA"/>
        <bgColor indexed="64"/>
      </patternFill>
    </fill>
    <fill>
      <patternFill patternType="solid">
        <fgColor rgb="FF1C1C8E"/>
        <bgColor indexed="64"/>
      </patternFill>
    </fill>
    <fill>
      <patternFill patternType="solid">
        <fgColor rgb="FF872383"/>
        <bgColor indexed="64"/>
      </patternFill>
    </fill>
    <fill>
      <patternFill patternType="solid">
        <fgColor rgb="FFAA5000"/>
        <bgColor indexed="64"/>
      </patternFill>
    </fill>
    <fill>
      <patternFill patternType="solid">
        <fgColor rgb="FF947016"/>
        <bgColor indexed="64"/>
      </patternFill>
    </fill>
    <fill>
      <patternFill patternType="solid">
        <fgColor rgb="FF5E7634"/>
        <bgColor indexed="64"/>
      </patternFill>
    </fill>
    <fill>
      <patternFill patternType="solid">
        <fgColor rgb="FF3F6A6B"/>
        <bgColor indexed="64"/>
      </patternFill>
    </fill>
    <fill>
      <patternFill patternType="solid">
        <fgColor rgb="FF005AAA"/>
        <bgColor indexed="64"/>
      </patternFill>
    </fill>
    <fill>
      <patternFill patternType="solid">
        <fgColor rgb="FF241199"/>
        <bgColor indexed="64"/>
      </patternFill>
    </fill>
    <fill>
      <patternFill patternType="solid">
        <fgColor rgb="FFAA001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E0F6EA"/>
        <bgColor indexed="64"/>
      </patternFill>
    </fill>
    <fill>
      <patternFill patternType="solid">
        <fgColor rgb="FF268451"/>
        <bgColor indexed="64"/>
      </patternFill>
    </fill>
    <fill>
      <patternFill patternType="solid">
        <fgColor rgb="FF8ADEB0"/>
        <bgColor indexed="64"/>
      </patternFill>
    </fill>
  </fills>
  <borders count="5">
    <border>
      <left/>
      <right/>
      <top/>
      <bottom/>
      <diagonal/>
    </border>
    <border>
      <left style="thick">
        <color rgb="FFA2A9B1"/>
      </left>
      <right style="thick">
        <color rgb="FFA2A9B1"/>
      </right>
      <top style="thick">
        <color rgb="FFA2A9B1"/>
      </top>
      <bottom style="thick">
        <color rgb="FFA2A9B1"/>
      </bottom>
      <diagonal/>
    </border>
    <border>
      <left style="thick">
        <color rgb="FFA2A9B1"/>
      </left>
      <right/>
      <top style="thick">
        <color rgb="FFA2A9B1"/>
      </top>
      <bottom style="thick">
        <color rgb="FFA2A9B1"/>
      </bottom>
      <diagonal/>
    </border>
    <border>
      <left/>
      <right/>
      <top style="thick">
        <color rgb="FFA2A9B1"/>
      </top>
      <bottom style="thick">
        <color rgb="FFA2A9B1"/>
      </bottom>
      <diagonal/>
    </border>
    <border>
      <left/>
      <right style="thick">
        <color rgb="FFA2A9B1"/>
      </right>
      <top style="thick">
        <color rgb="FFA2A9B1"/>
      </top>
      <bottom style="thick">
        <color rgb="FFA2A9B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96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3" borderId="1" xfId="0" applyFont="1" applyFill="1" applyBorder="1" applyAlignment="1">
      <alignment horizontal="center" vertical="center" wrapText="1"/>
    </xf>
    <xf numFmtId="0" fontId="4" fillId="3" borderId="1" xfId="1" applyFill="1" applyBorder="1" applyAlignment="1">
      <alignment horizontal="center" vertical="center" wrapText="1"/>
    </xf>
    <xf numFmtId="0" fontId="4" fillId="3" borderId="1" xfId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right" vertical="center"/>
    </xf>
    <xf numFmtId="0" fontId="4" fillId="3" borderId="2" xfId="1" applyFill="1" applyBorder="1" applyAlignment="1">
      <alignment horizontal="center" vertical="center" wrapText="1"/>
    </xf>
    <xf numFmtId="0" fontId="4" fillId="3" borderId="3" xfId="1" applyFill="1" applyBorder="1" applyAlignment="1">
      <alignment horizontal="center" vertical="center" wrapText="1"/>
    </xf>
    <xf numFmtId="0" fontId="4" fillId="3" borderId="4" xfId="1" applyFill="1" applyBorder="1" applyAlignment="1">
      <alignment horizontal="center" vertical="center" wrapText="1"/>
    </xf>
    <xf numFmtId="1" fontId="2" fillId="2" borderId="2" xfId="0" applyNumberFormat="1" applyFont="1" applyFill="1" applyBorder="1" applyAlignment="1">
      <alignment horizontal="right" vertical="center"/>
    </xf>
    <xf numFmtId="1" fontId="2" fillId="2" borderId="3" xfId="0" applyNumberFormat="1" applyFont="1" applyFill="1" applyBorder="1" applyAlignment="1">
      <alignment horizontal="right" vertical="center"/>
    </xf>
    <xf numFmtId="1" fontId="2" fillId="2" borderId="4" xfId="0" applyNumberFormat="1" applyFont="1" applyFill="1" applyBorder="1" applyAlignment="1">
      <alignment horizontal="right" vertical="center"/>
    </xf>
    <xf numFmtId="0" fontId="0" fillId="0" borderId="0" xfId="0" applyBorder="1" applyAlignment="1"/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1" fontId="5" fillId="2" borderId="2" xfId="0" applyNumberFormat="1" applyFont="1" applyFill="1" applyBorder="1" applyAlignment="1"/>
    <xf numFmtId="1" fontId="5" fillId="2" borderId="3" xfId="0" applyNumberFormat="1" applyFont="1" applyFill="1" applyBorder="1" applyAlignment="1"/>
    <xf numFmtId="1" fontId="5" fillId="2" borderId="4" xfId="0" applyNumberFormat="1" applyFont="1" applyFill="1" applyBorder="1" applyAlignment="1"/>
    <xf numFmtId="0" fontId="0" fillId="4" borderId="1" xfId="0" applyFill="1" applyBorder="1" applyAlignment="1"/>
    <xf numFmtId="0" fontId="0" fillId="5" borderId="1" xfId="0" applyFill="1" applyBorder="1" applyAlignment="1"/>
    <xf numFmtId="0" fontId="0" fillId="6" borderId="1" xfId="0" applyFill="1" applyBorder="1" applyAlignment="1"/>
    <xf numFmtId="0" fontId="0" fillId="7" borderId="1" xfId="0" applyFill="1" applyBorder="1" applyAlignment="1"/>
    <xf numFmtId="0" fontId="0" fillId="8" borderId="1" xfId="0" applyFill="1" applyBorder="1" applyAlignment="1"/>
    <xf numFmtId="0" fontId="0" fillId="9" borderId="1" xfId="0" applyFill="1" applyBorder="1" applyAlignment="1"/>
    <xf numFmtId="0" fontId="0" fillId="10" borderId="1" xfId="0" applyFill="1" applyBorder="1" applyAlignment="1"/>
    <xf numFmtId="0" fontId="0" fillId="11" borderId="1" xfId="0" applyFill="1" applyBorder="1" applyAlignment="1"/>
    <xf numFmtId="0" fontId="0" fillId="12" borderId="1" xfId="0" applyFill="1" applyBorder="1" applyAlignment="1"/>
    <xf numFmtId="0" fontId="0" fillId="13" borderId="1" xfId="0" applyFill="1" applyBorder="1" applyAlignment="1"/>
    <xf numFmtId="0" fontId="0" fillId="14" borderId="1" xfId="0" applyFill="1" applyBorder="1" applyAlignment="1"/>
    <xf numFmtId="0" fontId="0" fillId="15" borderId="1" xfId="0" applyFill="1" applyBorder="1" applyAlignment="1"/>
    <xf numFmtId="0" fontId="0" fillId="16" borderId="1" xfId="0" applyFill="1" applyBorder="1" applyAlignment="1"/>
    <xf numFmtId="0" fontId="0" fillId="17" borderId="1" xfId="0" applyFill="1" applyBorder="1" applyAlignment="1"/>
    <xf numFmtId="0" fontId="0" fillId="18" borderId="1" xfId="0" applyFill="1" applyBorder="1" applyAlignment="1"/>
    <xf numFmtId="0" fontId="0" fillId="19" borderId="1" xfId="0" applyFill="1" applyBorder="1" applyAlignment="1"/>
    <xf numFmtId="0" fontId="0" fillId="20" borderId="1" xfId="0" applyFill="1" applyBorder="1" applyAlignment="1"/>
    <xf numFmtId="0" fontId="0" fillId="21" borderId="1" xfId="0" applyFill="1" applyBorder="1" applyAlignment="1"/>
    <xf numFmtId="0" fontId="0" fillId="22" borderId="1" xfId="0" applyFill="1" applyBorder="1" applyAlignment="1"/>
    <xf numFmtId="0" fontId="0" fillId="23" borderId="1" xfId="0" applyFill="1" applyBorder="1" applyAlignment="1"/>
    <xf numFmtId="0" fontId="0" fillId="24" borderId="1" xfId="0" applyFill="1" applyBorder="1" applyAlignment="1"/>
    <xf numFmtId="0" fontId="0" fillId="25" borderId="1" xfId="0" applyFill="1" applyBorder="1" applyAlignment="1"/>
    <xf numFmtId="0" fontId="0" fillId="26" borderId="1" xfId="0" applyFill="1" applyBorder="1" applyAlignment="1"/>
    <xf numFmtId="0" fontId="0" fillId="27" borderId="1" xfId="0" applyFill="1" applyBorder="1" applyAlignment="1"/>
    <xf numFmtId="0" fontId="0" fillId="28" borderId="1" xfId="0" applyFill="1" applyBorder="1" applyAlignment="1"/>
    <xf numFmtId="0" fontId="0" fillId="29" borderId="1" xfId="0" applyFill="1" applyBorder="1" applyAlignment="1"/>
    <xf numFmtId="0" fontId="0" fillId="30" borderId="1" xfId="0" applyFill="1" applyBorder="1" applyAlignment="1"/>
    <xf numFmtId="0" fontId="0" fillId="31" borderId="1" xfId="0" applyFill="1" applyBorder="1" applyAlignment="1"/>
    <xf numFmtId="0" fontId="0" fillId="32" borderId="1" xfId="0" applyFill="1" applyBorder="1" applyAlignment="1"/>
    <xf numFmtId="0" fontId="0" fillId="33" borderId="1" xfId="0" applyFill="1" applyBorder="1" applyAlignment="1"/>
    <xf numFmtId="0" fontId="0" fillId="34" borderId="1" xfId="0" applyFill="1" applyBorder="1" applyAlignment="1"/>
    <xf numFmtId="0" fontId="0" fillId="35" borderId="1" xfId="0" applyFill="1" applyBorder="1" applyAlignment="1"/>
    <xf numFmtId="0" fontId="0" fillId="36" borderId="1" xfId="0" applyFill="1" applyBorder="1" applyAlignment="1"/>
    <xf numFmtId="0" fontId="0" fillId="37" borderId="1" xfId="0" applyFill="1" applyBorder="1" applyAlignment="1"/>
    <xf numFmtId="0" fontId="0" fillId="38" borderId="1" xfId="0" applyFill="1" applyBorder="1" applyAlignment="1"/>
    <xf numFmtId="0" fontId="0" fillId="39" borderId="1" xfId="0" applyFill="1" applyBorder="1" applyAlignment="1"/>
    <xf numFmtId="0" fontId="0" fillId="40" borderId="1" xfId="0" applyFill="1" applyBorder="1" applyAlignment="1"/>
    <xf numFmtId="0" fontId="0" fillId="41" borderId="1" xfId="0" applyFill="1" applyBorder="1" applyAlignment="1"/>
    <xf numFmtId="0" fontId="0" fillId="42" borderId="1" xfId="0" applyFill="1" applyBorder="1" applyAlignment="1"/>
    <xf numFmtId="0" fontId="0" fillId="43" borderId="1" xfId="0" applyFill="1" applyBorder="1" applyAlignment="1"/>
    <xf numFmtId="0" fontId="0" fillId="44" borderId="1" xfId="0" applyFill="1" applyBorder="1" applyAlignment="1"/>
    <xf numFmtId="0" fontId="0" fillId="45" borderId="1" xfId="0" applyFill="1" applyBorder="1" applyAlignment="1"/>
    <xf numFmtId="0" fontId="0" fillId="46" borderId="1" xfId="0" applyFill="1" applyBorder="1" applyAlignment="1"/>
    <xf numFmtId="0" fontId="0" fillId="47" borderId="1" xfId="0" applyFill="1" applyBorder="1" applyAlignment="1"/>
    <xf numFmtId="0" fontId="0" fillId="48" borderId="1" xfId="0" applyFill="1" applyBorder="1" applyAlignment="1"/>
    <xf numFmtId="0" fontId="0" fillId="49" borderId="1" xfId="0" applyFill="1" applyBorder="1" applyAlignment="1"/>
    <xf numFmtId="0" fontId="0" fillId="50" borderId="1" xfId="0" applyFill="1" applyBorder="1" applyAlignment="1"/>
    <xf numFmtId="0" fontId="0" fillId="51" borderId="1" xfId="0" applyFill="1" applyBorder="1" applyAlignment="1"/>
    <xf numFmtId="0" fontId="0" fillId="52" borderId="1" xfId="0" applyFill="1" applyBorder="1" applyAlignment="1"/>
    <xf numFmtId="0" fontId="0" fillId="53" borderId="1" xfId="0" applyFill="1" applyBorder="1" applyAlignment="1"/>
    <xf numFmtId="0" fontId="0" fillId="54" borderId="1" xfId="0" applyFill="1" applyBorder="1" applyAlignment="1"/>
    <xf numFmtId="0" fontId="0" fillId="55" borderId="1" xfId="0" applyFill="1" applyBorder="1" applyAlignment="1"/>
    <xf numFmtId="0" fontId="0" fillId="56" borderId="1" xfId="0" applyFill="1" applyBorder="1" applyAlignment="1"/>
    <xf numFmtId="0" fontId="0" fillId="57" borderId="1" xfId="0" applyFill="1" applyBorder="1" applyAlignment="1"/>
    <xf numFmtId="0" fontId="0" fillId="58" borderId="1" xfId="0" applyFill="1" applyBorder="1" applyAlignment="1"/>
    <xf numFmtId="0" fontId="0" fillId="59" borderId="1" xfId="0" applyFill="1" applyBorder="1" applyAlignment="1"/>
    <xf numFmtId="0" fontId="0" fillId="60" borderId="1" xfId="0" applyFill="1" applyBorder="1" applyAlignment="1"/>
    <xf numFmtId="0" fontId="0" fillId="61" borderId="1" xfId="0" applyFill="1" applyBorder="1" applyAlignment="1"/>
    <xf numFmtId="0" fontId="0" fillId="62" borderId="1" xfId="0" applyFill="1" applyBorder="1" applyAlignment="1"/>
    <xf numFmtId="0" fontId="0" fillId="63" borderId="1" xfId="0" applyFill="1" applyBorder="1" applyAlignment="1"/>
    <xf numFmtId="0" fontId="0" fillId="64" borderId="1" xfId="0" applyFill="1" applyBorder="1" applyAlignment="1"/>
    <xf numFmtId="0" fontId="0" fillId="65" borderId="1" xfId="0" applyFill="1" applyBorder="1" applyAlignment="1"/>
    <xf numFmtId="0" fontId="0" fillId="66" borderId="1" xfId="0" applyFill="1" applyBorder="1" applyAlignment="1"/>
    <xf numFmtId="0" fontId="0" fillId="67" borderId="1" xfId="0" applyFill="1" applyBorder="1" applyAlignment="1"/>
    <xf numFmtId="0" fontId="0" fillId="68" borderId="1" xfId="0" applyFill="1" applyBorder="1" applyAlignment="1"/>
    <xf numFmtId="0" fontId="0" fillId="69" borderId="1" xfId="0" applyFill="1" applyBorder="1" applyAlignment="1"/>
    <xf numFmtId="0" fontId="0" fillId="70" borderId="1" xfId="0" applyFill="1" applyBorder="1" applyAlignment="1"/>
    <xf numFmtId="0" fontId="0" fillId="71" borderId="1" xfId="0" applyFill="1" applyBorder="1" applyAlignment="1"/>
    <xf numFmtId="0" fontId="0" fillId="72" borderId="1" xfId="0" applyFill="1" applyBorder="1" applyAlignment="1"/>
    <xf numFmtId="0" fontId="0" fillId="73" borderId="1" xfId="0" applyFill="1" applyBorder="1" applyAlignment="1"/>
    <xf numFmtId="0" fontId="0" fillId="74" borderId="1" xfId="0" applyFill="1" applyBorder="1" applyAlignment="1"/>
    <xf numFmtId="0" fontId="0" fillId="75" borderId="1" xfId="0" applyFill="1" applyBorder="1" applyAlignment="1"/>
    <xf numFmtId="0" fontId="0" fillId="76" borderId="1" xfId="0" applyFill="1" applyBorder="1" applyAlignment="1"/>
    <xf numFmtId="0" fontId="0" fillId="77" borderId="1" xfId="0" applyFill="1" applyBorder="1" applyAlignment="1"/>
    <xf numFmtId="0" fontId="0" fillId="78" borderId="1" xfId="0" applyFill="1" applyBorder="1" applyAlignment="1"/>
    <xf numFmtId="0" fontId="0" fillId="79" borderId="1" xfId="0" applyFill="1" applyBorder="1" applyAlignment="1"/>
    <xf numFmtId="0" fontId="0" fillId="80" borderId="1" xfId="0" applyFill="1" applyBorder="1" applyAlignment="1"/>
    <xf numFmtId="0" fontId="0" fillId="81" borderId="1" xfId="0" applyFill="1" applyBorder="1" applyAlignment="1"/>
    <xf numFmtId="0" fontId="0" fillId="82" borderId="1" xfId="0" applyFill="1" applyBorder="1" applyAlignment="1"/>
    <xf numFmtId="0" fontId="0" fillId="83" borderId="1" xfId="0" applyFill="1" applyBorder="1" applyAlignment="1"/>
    <xf numFmtId="0" fontId="0" fillId="84" borderId="1" xfId="0" applyFill="1" applyBorder="1" applyAlignment="1"/>
    <xf numFmtId="0" fontId="0" fillId="85" borderId="1" xfId="0" applyFill="1" applyBorder="1" applyAlignment="1"/>
    <xf numFmtId="0" fontId="0" fillId="86" borderId="1" xfId="0" applyFill="1" applyBorder="1" applyAlignment="1"/>
    <xf numFmtId="0" fontId="0" fillId="87" borderId="1" xfId="0" applyFill="1" applyBorder="1" applyAlignment="1"/>
    <xf numFmtId="0" fontId="0" fillId="88" borderId="1" xfId="0" applyFill="1" applyBorder="1" applyAlignment="1"/>
    <xf numFmtId="0" fontId="0" fillId="89" borderId="1" xfId="0" applyFill="1" applyBorder="1" applyAlignment="1"/>
    <xf numFmtId="0" fontId="0" fillId="90" borderId="1" xfId="0" applyFill="1" applyBorder="1" applyAlignment="1"/>
    <xf numFmtId="0" fontId="0" fillId="91" borderId="1" xfId="0" applyFill="1" applyBorder="1" applyAlignment="1"/>
    <xf numFmtId="0" fontId="0" fillId="92" borderId="1" xfId="0" applyFill="1" applyBorder="1" applyAlignment="1"/>
    <xf numFmtId="0" fontId="0" fillId="93" borderId="1" xfId="0" applyFill="1" applyBorder="1" applyAlignment="1"/>
    <xf numFmtId="0" fontId="0" fillId="94" borderId="1" xfId="0" applyFill="1" applyBorder="1" applyAlignment="1"/>
    <xf numFmtId="0" fontId="0" fillId="95" borderId="1" xfId="0" applyFill="1" applyBorder="1" applyAlignment="1"/>
    <xf numFmtId="0" fontId="0" fillId="96" borderId="1" xfId="0" applyFill="1" applyBorder="1" applyAlignment="1"/>
    <xf numFmtId="0" fontId="0" fillId="97" borderId="1" xfId="0" applyFill="1" applyBorder="1" applyAlignment="1"/>
    <xf numFmtId="0" fontId="0" fillId="98" borderId="1" xfId="0" applyFill="1" applyBorder="1" applyAlignment="1"/>
    <xf numFmtId="0" fontId="0" fillId="99" borderId="1" xfId="0" applyFill="1" applyBorder="1" applyAlignment="1"/>
    <xf numFmtId="0" fontId="0" fillId="100" borderId="1" xfId="0" applyFill="1" applyBorder="1" applyAlignment="1"/>
    <xf numFmtId="0" fontId="0" fillId="101" borderId="1" xfId="0" applyFill="1" applyBorder="1" applyAlignment="1"/>
    <xf numFmtId="0" fontId="0" fillId="102" borderId="1" xfId="0" applyFill="1" applyBorder="1" applyAlignment="1"/>
    <xf numFmtId="0" fontId="0" fillId="103" borderId="1" xfId="0" applyFill="1" applyBorder="1" applyAlignment="1"/>
    <xf numFmtId="0" fontId="0" fillId="104" borderId="1" xfId="0" applyFill="1" applyBorder="1" applyAlignment="1"/>
    <xf numFmtId="0" fontId="0" fillId="105" borderId="1" xfId="0" applyFill="1" applyBorder="1" applyAlignment="1"/>
    <xf numFmtId="0" fontId="0" fillId="106" borderId="1" xfId="0" applyFill="1" applyBorder="1" applyAlignment="1"/>
    <xf numFmtId="0" fontId="0" fillId="107" borderId="1" xfId="0" applyFill="1" applyBorder="1" applyAlignment="1"/>
    <xf numFmtId="0" fontId="0" fillId="108" borderId="1" xfId="0" applyFill="1" applyBorder="1" applyAlignment="1"/>
    <xf numFmtId="0" fontId="0" fillId="109" borderId="1" xfId="0" applyFill="1" applyBorder="1" applyAlignment="1"/>
    <xf numFmtId="0" fontId="0" fillId="110" borderId="1" xfId="0" applyFill="1" applyBorder="1" applyAlignment="1"/>
    <xf numFmtId="0" fontId="0" fillId="111" borderId="1" xfId="0" applyFill="1" applyBorder="1" applyAlignment="1"/>
    <xf numFmtId="0" fontId="0" fillId="112" borderId="1" xfId="0" applyFill="1" applyBorder="1" applyAlignment="1"/>
    <xf numFmtId="0" fontId="0" fillId="113" borderId="1" xfId="0" applyFill="1" applyBorder="1" applyAlignment="1"/>
    <xf numFmtId="0" fontId="0" fillId="114" borderId="1" xfId="0" applyFill="1" applyBorder="1" applyAlignment="1"/>
    <xf numFmtId="0" fontId="0" fillId="115" borderId="1" xfId="0" applyFill="1" applyBorder="1" applyAlignment="1"/>
    <xf numFmtId="0" fontId="0" fillId="116" borderId="1" xfId="0" applyFill="1" applyBorder="1" applyAlignment="1"/>
    <xf numFmtId="0" fontId="0" fillId="117" borderId="1" xfId="0" applyFill="1" applyBorder="1" applyAlignment="1"/>
    <xf numFmtId="0" fontId="0" fillId="118" borderId="1" xfId="0" applyFill="1" applyBorder="1" applyAlignment="1"/>
    <xf numFmtId="0" fontId="0" fillId="119" borderId="1" xfId="0" applyFill="1" applyBorder="1" applyAlignment="1"/>
    <xf numFmtId="0" fontId="0" fillId="120" borderId="1" xfId="0" applyFill="1" applyBorder="1" applyAlignment="1"/>
    <xf numFmtId="0" fontId="0" fillId="121" borderId="1" xfId="0" applyFill="1" applyBorder="1" applyAlignment="1"/>
    <xf numFmtId="0" fontId="0" fillId="122" borderId="1" xfId="0" applyFill="1" applyBorder="1" applyAlignment="1"/>
    <xf numFmtId="0" fontId="0" fillId="123" borderId="1" xfId="0" applyFill="1" applyBorder="1" applyAlignment="1"/>
    <xf numFmtId="0" fontId="0" fillId="124" borderId="1" xfId="0" applyFill="1" applyBorder="1" applyAlignment="1"/>
    <xf numFmtId="0" fontId="0" fillId="125" borderId="1" xfId="0" applyFill="1" applyBorder="1" applyAlignment="1"/>
    <xf numFmtId="0" fontId="0" fillId="126" borderId="1" xfId="0" applyFill="1" applyBorder="1" applyAlignment="1"/>
    <xf numFmtId="0" fontId="0" fillId="127" borderId="1" xfId="0" applyFill="1" applyBorder="1" applyAlignment="1"/>
    <xf numFmtId="0" fontId="0" fillId="128" borderId="1" xfId="0" applyFill="1" applyBorder="1" applyAlignment="1"/>
    <xf numFmtId="0" fontId="0" fillId="129" borderId="1" xfId="0" applyFill="1" applyBorder="1" applyAlignment="1"/>
    <xf numFmtId="0" fontId="0" fillId="130" borderId="1" xfId="0" applyFill="1" applyBorder="1" applyAlignment="1"/>
    <xf numFmtId="0" fontId="0" fillId="131" borderId="1" xfId="0" applyFill="1" applyBorder="1" applyAlignment="1"/>
    <xf numFmtId="0" fontId="0" fillId="132" borderId="1" xfId="0" applyFill="1" applyBorder="1" applyAlignment="1"/>
    <xf numFmtId="0" fontId="0" fillId="133" borderId="1" xfId="0" applyFill="1" applyBorder="1" applyAlignment="1"/>
    <xf numFmtId="0" fontId="0" fillId="134" borderId="1" xfId="0" applyFill="1" applyBorder="1" applyAlignment="1"/>
    <xf numFmtId="0" fontId="0" fillId="135" borderId="1" xfId="0" applyFill="1" applyBorder="1" applyAlignment="1"/>
    <xf numFmtId="0" fontId="0" fillId="136" borderId="1" xfId="0" applyFill="1" applyBorder="1" applyAlignment="1"/>
    <xf numFmtId="0" fontId="0" fillId="137" borderId="1" xfId="0" applyFill="1" applyBorder="1" applyAlignment="1"/>
    <xf numFmtId="0" fontId="0" fillId="138" borderId="1" xfId="0" applyFill="1" applyBorder="1" applyAlignment="1"/>
    <xf numFmtId="0" fontId="0" fillId="139" borderId="1" xfId="0" applyFill="1" applyBorder="1" applyAlignment="1"/>
    <xf numFmtId="0" fontId="0" fillId="140" borderId="1" xfId="0" applyFill="1" applyBorder="1" applyAlignment="1"/>
    <xf numFmtId="0" fontId="0" fillId="141" borderId="1" xfId="0" applyFill="1" applyBorder="1" applyAlignment="1"/>
    <xf numFmtId="0" fontId="0" fillId="142" borderId="1" xfId="0" applyFill="1" applyBorder="1" applyAlignment="1"/>
    <xf numFmtId="0" fontId="0" fillId="143" borderId="1" xfId="0" applyFill="1" applyBorder="1" applyAlignment="1"/>
    <xf numFmtId="0" fontId="0" fillId="144" borderId="1" xfId="0" applyFill="1" applyBorder="1" applyAlignment="1"/>
    <xf numFmtId="0" fontId="0" fillId="145" borderId="1" xfId="0" applyFill="1" applyBorder="1" applyAlignment="1"/>
    <xf numFmtId="2" fontId="2" fillId="2" borderId="2" xfId="0" applyNumberFormat="1" applyFont="1" applyFill="1" applyBorder="1" applyAlignment="1">
      <alignment horizontal="right" vertical="center"/>
    </xf>
    <xf numFmtId="2" fontId="2" fillId="2" borderId="4" xfId="0" applyNumberFormat="1" applyFont="1" applyFill="1" applyBorder="1" applyAlignment="1">
      <alignment horizontal="right" vertical="center"/>
    </xf>
    <xf numFmtId="0" fontId="8" fillId="3" borderId="1" xfId="0" applyFont="1" applyFill="1" applyBorder="1" applyAlignment="1">
      <alignment horizontal="left" vertical="center"/>
    </xf>
    <xf numFmtId="0" fontId="9" fillId="3" borderId="1" xfId="1" applyFont="1" applyFill="1" applyBorder="1" applyAlignment="1">
      <alignment horizontal="left" vertical="center"/>
    </xf>
    <xf numFmtId="0" fontId="0" fillId="146" borderId="1" xfId="0" applyFill="1" applyBorder="1" applyAlignment="1"/>
    <xf numFmtId="0" fontId="10" fillId="3" borderId="1" xfId="0" applyFont="1" applyFill="1" applyBorder="1" applyAlignment="1">
      <alignment horizontal="center" vertical="center" wrapText="1"/>
    </xf>
    <xf numFmtId="0" fontId="0" fillId="463" borderId="2" xfId="0" applyFill="1" applyBorder="1" applyAlignment="1"/>
    <xf numFmtId="0" fontId="0" fillId="463" borderId="3" xfId="0" applyFill="1" applyBorder="1" applyAlignment="1"/>
    <xf numFmtId="0" fontId="0" fillId="463" borderId="4" xfId="0" applyFill="1" applyBorder="1" applyAlignment="1"/>
    <xf numFmtId="0" fontId="0" fillId="147" borderId="2" xfId="0" applyFill="1" applyBorder="1" applyAlignment="1"/>
    <xf numFmtId="0" fontId="0" fillId="148" borderId="3" xfId="0" applyFill="1" applyBorder="1" applyAlignment="1"/>
    <xf numFmtId="0" fontId="0" fillId="149" borderId="4" xfId="0" applyFill="1" applyBorder="1" applyAlignment="1"/>
    <xf numFmtId="0" fontId="0" fillId="146" borderId="2" xfId="0" applyFill="1" applyBorder="1" applyAlignment="1"/>
    <xf numFmtId="0" fontId="0" fillId="146" borderId="3" xfId="0" applyFill="1" applyBorder="1" applyAlignment="1"/>
    <xf numFmtId="0" fontId="0" fillId="146" borderId="4" xfId="0" applyFill="1" applyBorder="1" applyAlignment="1"/>
    <xf numFmtId="0" fontId="0" fillId="152" borderId="2" xfId="0" applyFill="1" applyBorder="1" applyAlignment="1"/>
    <xf numFmtId="0" fontId="0" fillId="159" borderId="3" xfId="0" applyFill="1" applyBorder="1" applyAlignment="1"/>
    <xf numFmtId="0" fontId="0" fillId="163" borderId="4" xfId="0" applyFill="1" applyBorder="1" applyAlignment="1"/>
    <xf numFmtId="0" fontId="0" fillId="154" borderId="2" xfId="0" applyFill="1" applyBorder="1" applyAlignment="1"/>
    <xf numFmtId="0" fontId="0" fillId="158" borderId="3" xfId="0" applyFill="1" applyBorder="1" applyAlignment="1"/>
    <xf numFmtId="0" fontId="0" fillId="164" borderId="4" xfId="0" applyFill="1" applyBorder="1" applyAlignment="1"/>
    <xf numFmtId="0" fontId="0" fillId="151" borderId="2" xfId="0" applyFill="1" applyBorder="1" applyAlignment="1"/>
    <xf numFmtId="0" fontId="0" fillId="161" borderId="3" xfId="0" applyFill="1" applyBorder="1" applyAlignment="1"/>
    <xf numFmtId="0" fontId="0" fillId="165" borderId="4" xfId="0" applyFill="1" applyBorder="1" applyAlignment="1"/>
    <xf numFmtId="0" fontId="0" fillId="155" borderId="2" xfId="0" applyFill="1" applyBorder="1" applyAlignment="1"/>
    <xf numFmtId="0" fontId="0" fillId="157" borderId="3" xfId="0" applyFill="1" applyBorder="1" applyAlignment="1"/>
    <xf numFmtId="0" fontId="0" fillId="166" borderId="4" xfId="0" applyFill="1" applyBorder="1" applyAlignment="1"/>
    <xf numFmtId="0" fontId="0" fillId="153" borderId="2" xfId="0" applyFill="1" applyBorder="1" applyAlignment="1"/>
    <xf numFmtId="0" fontId="0" fillId="162" borderId="3" xfId="0" applyFill="1" applyBorder="1" applyAlignment="1"/>
    <xf numFmtId="0" fontId="0" fillId="167" borderId="4" xfId="0" applyFill="1" applyBorder="1" applyAlignment="1"/>
    <xf numFmtId="0" fontId="0" fillId="150" borderId="2" xfId="0" applyFill="1" applyBorder="1" applyAlignment="1"/>
    <xf numFmtId="0" fontId="0" fillId="156" borderId="3" xfId="0" applyFill="1" applyBorder="1" applyAlignment="1"/>
    <xf numFmtId="0" fontId="0" fillId="160" borderId="4" xfId="0" applyFill="1" applyBorder="1" applyAlignment="1"/>
    <xf numFmtId="0" fontId="0" fillId="220" borderId="2" xfId="0" applyFill="1" applyBorder="1" applyAlignment="1"/>
    <xf numFmtId="0" fontId="0" fillId="292" borderId="3" xfId="0" applyFill="1" applyBorder="1" applyAlignment="1"/>
    <xf numFmtId="0" fontId="0" fillId="414" borderId="4" xfId="0" applyFill="1" applyBorder="1" applyAlignment="1"/>
    <xf numFmtId="0" fontId="0" fillId="233" borderId="2" xfId="0" applyFill="1" applyBorder="1" applyAlignment="1"/>
    <xf numFmtId="0" fontId="0" fillId="314" borderId="3" xfId="0" applyFill="1" applyBorder="1" applyAlignment="1"/>
    <xf numFmtId="0" fontId="0" fillId="424" borderId="4" xfId="0" applyFill="1" applyBorder="1" applyAlignment="1"/>
    <xf numFmtId="0" fontId="0" fillId="202" borderId="2" xfId="0" applyFill="1" applyBorder="1" applyAlignment="1"/>
    <xf numFmtId="0" fontId="0" fillId="303" borderId="3" xfId="0" applyFill="1" applyBorder="1" applyAlignment="1"/>
    <xf numFmtId="0" fontId="0" fillId="394" borderId="4" xfId="0" applyFill="1" applyBorder="1" applyAlignment="1"/>
    <xf numFmtId="0" fontId="0" fillId="245" borderId="2" xfId="0" applyFill="1" applyBorder="1" applyAlignment="1"/>
    <xf numFmtId="0" fontId="0" fillId="335" borderId="3" xfId="0" applyFill="1" applyBorder="1" applyAlignment="1"/>
    <xf numFmtId="0" fontId="0" fillId="437" borderId="4" xfId="0" applyFill="1" applyBorder="1" applyAlignment="1"/>
    <xf numFmtId="0" fontId="0" fillId="169" borderId="2" xfId="0" applyFill="1" applyBorder="1" applyAlignment="1"/>
    <xf numFmtId="0" fontId="0" fillId="349" borderId="3" xfId="0" applyFill="1" applyBorder="1" applyAlignment="1"/>
    <xf numFmtId="0" fontId="0" fillId="361" borderId="4" xfId="0" applyFill="1" applyBorder="1" applyAlignment="1"/>
    <xf numFmtId="0" fontId="0" fillId="259" borderId="3" xfId="0" applyFill="1" applyBorder="1" applyAlignment="1"/>
    <xf numFmtId="0" fontId="0" fillId="260" borderId="3" xfId="0" applyFill="1" applyBorder="1" applyAlignment="1"/>
    <xf numFmtId="0" fontId="0" fillId="381" borderId="4" xfId="0" applyFill="1" applyBorder="1" applyAlignment="1"/>
    <xf numFmtId="0" fontId="0" fillId="208" borderId="2" xfId="0" applyFill="1" applyBorder="1" applyAlignment="1"/>
    <xf numFmtId="0" fontId="0" fillId="284" borderId="3" xfId="0" applyFill="1" applyBorder="1" applyAlignment="1"/>
    <xf numFmtId="0" fontId="0" fillId="397" borderId="4" xfId="0" applyFill="1" applyBorder="1" applyAlignment="1"/>
    <xf numFmtId="0" fontId="0" fillId="221" borderId="2" xfId="0" applyFill="1" applyBorder="1" applyAlignment="1"/>
    <xf numFmtId="0" fontId="0" fillId="293" borderId="3" xfId="0" applyFill="1" applyBorder="1" applyAlignment="1"/>
    <xf numFmtId="0" fontId="0" fillId="415" borderId="4" xfId="0" applyFill="1" applyBorder="1" applyAlignment="1"/>
    <xf numFmtId="0" fontId="0" fillId="315" borderId="3" xfId="0" applyFill="1" applyBorder="1" applyAlignment="1"/>
    <xf numFmtId="0" fontId="0" fillId="425" borderId="4" xfId="0" applyFill="1" applyBorder="1" applyAlignment="1"/>
    <xf numFmtId="0" fontId="0" fillId="217" borderId="2" xfId="0" applyFill="1" applyBorder="1" applyAlignment="1"/>
    <xf numFmtId="0" fontId="0" fillId="324" borderId="3" xfId="0" applyFill="1" applyBorder="1" applyAlignment="1"/>
    <xf numFmtId="0" fontId="0" fillId="409" borderId="4" xfId="0" applyFill="1" applyBorder="1" applyAlignment="1"/>
    <xf numFmtId="0" fontId="0" fillId="246" borderId="2" xfId="0" applyFill="1" applyBorder="1" applyAlignment="1"/>
    <xf numFmtId="0" fontId="0" fillId="336" borderId="3" xfId="0" applyFill="1" applyBorder="1" applyAlignment="1"/>
    <xf numFmtId="0" fontId="0" fillId="438" borderId="4" xfId="0" applyFill="1" applyBorder="1" applyAlignment="1"/>
    <xf numFmtId="0" fontId="0" fillId="256" borderId="2" xfId="0" applyFill="1" applyBorder="1" applyAlignment="1"/>
    <xf numFmtId="0" fontId="0" fillId="350" borderId="3" xfId="0" applyFill="1" applyBorder="1" applyAlignment="1"/>
    <xf numFmtId="0" fontId="0" fillId="456" borderId="4" xfId="0" applyFill="1" applyBorder="1" applyAlignment="1"/>
    <xf numFmtId="0" fontId="0" fillId="170" borderId="2" xfId="0" applyFill="1" applyBorder="1" applyAlignment="1"/>
    <xf numFmtId="0" fontId="0" fillId="312" borderId="3" xfId="0" applyFill="1" applyBorder="1" applyAlignment="1"/>
    <xf numFmtId="0" fontId="0" fillId="362" borderId="4" xfId="0" applyFill="1" applyBorder="1" applyAlignment="1"/>
    <xf numFmtId="0" fontId="0" fillId="192" borderId="2" xfId="0" applyFill="1" applyBorder="1" applyAlignment="1"/>
    <xf numFmtId="0" fontId="0" fillId="261" borderId="3" xfId="0" applyFill="1" applyBorder="1" applyAlignment="1"/>
    <xf numFmtId="0" fontId="0" fillId="382" borderId="4" xfId="0" applyFill="1" applyBorder="1" applyAlignment="1"/>
    <xf numFmtId="0" fontId="0" fillId="209" borderId="2" xfId="0" applyFill="1" applyBorder="1" applyAlignment="1"/>
    <xf numFmtId="0" fontId="0" fillId="274" borderId="3" xfId="0" applyFill="1" applyBorder="1" applyAlignment="1"/>
    <xf numFmtId="0" fontId="0" fillId="398" borderId="4" xfId="0" applyFill="1" applyBorder="1" applyAlignment="1"/>
    <xf numFmtId="0" fontId="0" fillId="294" borderId="3" xfId="0" applyFill="1" applyBorder="1" applyAlignment="1"/>
    <xf numFmtId="0" fontId="0" fillId="416" borderId="4" xfId="0" applyFill="1" applyBorder="1" applyAlignment="1"/>
    <xf numFmtId="0" fontId="0" fillId="234" borderId="2" xfId="0" applyFill="1" applyBorder="1" applyAlignment="1"/>
    <xf numFmtId="0" fontId="0" fillId="316" borderId="3" xfId="0" applyFill="1" applyBorder="1" applyAlignment="1"/>
    <xf numFmtId="0" fontId="0" fillId="426" borderId="4" xfId="0" applyFill="1" applyBorder="1" applyAlignment="1"/>
    <xf numFmtId="0" fontId="0" fillId="185" borderId="2" xfId="0" applyFill="1" applyBorder="1" applyAlignment="1"/>
    <xf numFmtId="0" fontId="0" fillId="304" borderId="3" xfId="0" applyFill="1" applyBorder="1" applyAlignment="1"/>
    <xf numFmtId="0" fontId="0" fillId="435" borderId="4" xfId="0" applyFill="1" applyBorder="1" applyAlignment="1"/>
    <xf numFmtId="0" fontId="0" fillId="247" borderId="2" xfId="0" applyFill="1" applyBorder="1" applyAlignment="1"/>
    <xf numFmtId="0" fontId="0" fillId="337" borderId="3" xfId="0" applyFill="1" applyBorder="1" applyAlignment="1"/>
    <xf numFmtId="0" fontId="0" fillId="439" borderId="4" xfId="0" applyFill="1" applyBorder="1" applyAlignment="1"/>
    <xf numFmtId="0" fontId="0" fillId="171" borderId="2" xfId="0" applyFill="1" applyBorder="1" applyAlignment="1"/>
    <xf numFmtId="0" fontId="0" fillId="332" borderId="3" xfId="0" applyFill="1" applyBorder="1" applyAlignment="1"/>
    <xf numFmtId="0" fontId="0" fillId="363" borderId="4" xfId="0" applyFill="1" applyBorder="1" applyAlignment="1"/>
    <xf numFmtId="0" fontId="0" fillId="193" borderId="2" xfId="0" applyFill="1" applyBorder="1" applyAlignment="1"/>
    <xf numFmtId="0" fontId="0" fillId="262" borderId="3" xfId="0" applyFill="1" applyBorder="1" applyAlignment="1"/>
    <xf numFmtId="0" fontId="0" fillId="383" borderId="4" xfId="0" applyFill="1" applyBorder="1" applyAlignment="1"/>
    <xf numFmtId="0" fontId="0" fillId="285" borderId="3" xfId="0" applyFill="1" applyBorder="1" applyAlignment="1"/>
    <xf numFmtId="0" fontId="0" fillId="399" borderId="4" xfId="0" applyFill="1" applyBorder="1" applyAlignment="1"/>
    <xf numFmtId="0" fontId="0" fillId="222" borderId="2" xfId="0" applyFill="1" applyBorder="1" applyAlignment="1"/>
    <xf numFmtId="0" fontId="0" fillId="295" borderId="3" xfId="0" applyFill="1" applyBorder="1" applyAlignment="1"/>
    <xf numFmtId="0" fontId="0" fillId="417" borderId="4" xfId="0" applyFill="1" applyBorder="1" applyAlignment="1"/>
    <xf numFmtId="0" fontId="0" fillId="235" borderId="2" xfId="0" applyFill="1" applyBorder="1" applyAlignment="1"/>
    <xf numFmtId="0" fontId="0" fillId="317" borderId="3" xfId="0" applyFill="1" applyBorder="1" applyAlignment="1"/>
    <xf numFmtId="0" fontId="0" fillId="427" borderId="4" xfId="0" applyFill="1" applyBorder="1" applyAlignment="1"/>
    <xf numFmtId="0" fontId="0" fillId="186" borderId="2" xfId="0" applyFill="1" applyBorder="1" applyAlignment="1"/>
    <xf numFmtId="0" fontId="0" fillId="325" borderId="3" xfId="0" applyFill="1" applyBorder="1" applyAlignment="1"/>
    <xf numFmtId="0" fontId="0" fillId="377" borderId="4" xfId="0" applyFill="1" applyBorder="1" applyAlignment="1"/>
    <xf numFmtId="0" fontId="0" fillId="248" borderId="2" xfId="0" applyFill="1" applyBorder="1" applyAlignment="1"/>
    <xf numFmtId="0" fontId="0" fillId="338" borderId="3" xfId="0" applyFill="1" applyBorder="1" applyAlignment="1"/>
    <xf numFmtId="0" fontId="0" fillId="440" borderId="4" xfId="0" applyFill="1" applyBorder="1" applyAlignment="1"/>
    <xf numFmtId="0" fontId="0" fillId="205" borderId="2" xfId="0" applyFill="1" applyBorder="1" applyAlignment="1"/>
    <xf numFmtId="0" fontId="0" fillId="351" borderId="3" xfId="0" applyFill="1" applyBorder="1" applyAlignment="1"/>
    <xf numFmtId="0" fontId="0" fillId="457" borderId="4" xfId="0" applyFill="1" applyBorder="1" applyAlignment="1"/>
    <xf numFmtId="0" fontId="0" fillId="172" borderId="2" xfId="0" applyFill="1" applyBorder="1" applyAlignment="1"/>
    <xf numFmtId="0" fontId="0" fillId="358" borderId="3" xfId="0" applyFill="1" applyBorder="1" applyAlignment="1"/>
    <xf numFmtId="0" fontId="0" fillId="364" borderId="4" xfId="0" applyFill="1" applyBorder="1" applyAlignment="1"/>
    <xf numFmtId="0" fontId="0" fillId="194" borderId="2" xfId="0" applyFill="1" applyBorder="1" applyAlignment="1"/>
    <xf numFmtId="0" fontId="0" fillId="263" borderId="3" xfId="0" applyFill="1" applyBorder="1" applyAlignment="1"/>
    <xf numFmtId="0" fontId="0" fillId="384" borderId="4" xfId="0" applyFill="1" applyBorder="1" applyAlignment="1"/>
    <xf numFmtId="0" fontId="0" fillId="210" borderId="2" xfId="0" applyFill="1" applyBorder="1" applyAlignment="1"/>
    <xf numFmtId="0" fontId="0" fillId="275" borderId="3" xfId="0" applyFill="1" applyBorder="1" applyAlignment="1"/>
    <xf numFmtId="0" fontId="0" fillId="400" borderId="4" xfId="0" applyFill="1" applyBorder="1" applyAlignment="1"/>
    <xf numFmtId="0" fontId="0" fillId="223" borderId="2" xfId="0" applyFill="1" applyBorder="1" applyAlignment="1"/>
    <xf numFmtId="0" fontId="0" fillId="296" borderId="3" xfId="0" applyFill="1" applyBorder="1" applyAlignment="1"/>
    <xf numFmtId="0" fontId="0" fillId="418" borderId="4" xfId="0" applyFill="1" applyBorder="1" applyAlignment="1"/>
    <xf numFmtId="0" fontId="0" fillId="236" borderId="2" xfId="0" applyFill="1" applyBorder="1" applyAlignment="1"/>
    <xf numFmtId="0" fontId="0" fillId="318" borderId="3" xfId="0" applyFill="1" applyBorder="1" applyAlignment="1"/>
    <xf numFmtId="0" fontId="0" fillId="428" borderId="4" xfId="0" applyFill="1" applyBorder="1" applyAlignment="1"/>
    <xf numFmtId="0" fontId="0" fillId="218" borderId="2" xfId="0" applyFill="1" applyBorder="1" applyAlignment="1"/>
    <xf numFmtId="0" fontId="0" fillId="305" borderId="3" xfId="0" applyFill="1" applyBorder="1" applyAlignment="1"/>
    <xf numFmtId="0" fontId="0" fillId="410" borderId="4" xfId="0" applyFill="1" applyBorder="1" applyAlignment="1"/>
    <xf numFmtId="0" fontId="0" fillId="249" borderId="2" xfId="0" applyFill="1" applyBorder="1" applyAlignment="1"/>
    <xf numFmtId="0" fontId="0" fillId="339" borderId="3" xfId="0" applyFill="1" applyBorder="1" applyAlignment="1"/>
    <xf numFmtId="0" fontId="0" fillId="441" borderId="4" xfId="0" applyFill="1" applyBorder="1" applyAlignment="1"/>
    <xf numFmtId="0" fontId="0" fillId="243" borderId="2" xfId="0" applyFill="1" applyBorder="1" applyAlignment="1"/>
    <xf numFmtId="0" fontId="0" fillId="352" borderId="3" xfId="0" applyFill="1" applyBorder="1" applyAlignment="1"/>
    <xf numFmtId="0" fontId="0" fillId="451" borderId="4" xfId="0" applyFill="1" applyBorder="1" applyAlignment="1"/>
    <xf numFmtId="0" fontId="0" fillId="173" borderId="2" xfId="0" applyFill="1" applyBorder="1" applyAlignment="1"/>
    <xf numFmtId="0" fontId="0" fillId="290" borderId="3" xfId="0" applyFill="1" applyBorder="1" applyAlignment="1"/>
    <xf numFmtId="0" fontId="0" fillId="365" borderId="4" xfId="0" applyFill="1" applyBorder="1" applyAlignment="1"/>
    <xf numFmtId="0" fontId="0" fillId="180" borderId="2" xfId="0" applyFill="1" applyBorder="1" applyAlignment="1"/>
    <xf numFmtId="0" fontId="0" fillId="264" borderId="3" xfId="0" applyFill="1" applyBorder="1" applyAlignment="1"/>
    <xf numFmtId="0" fontId="0" fillId="372" borderId="4" xfId="0" applyFill="1" applyBorder="1" applyAlignment="1"/>
    <xf numFmtId="0" fontId="0" fillId="203" borderId="2" xfId="0" applyFill="1" applyBorder="1" applyAlignment="1"/>
    <xf numFmtId="0" fontId="0" fillId="326" borderId="3" xfId="0" applyFill="1" applyBorder="1" applyAlignment="1"/>
    <xf numFmtId="0" fontId="0" fillId="395" borderId="4" xfId="0" applyFill="1" applyBorder="1" applyAlignment="1"/>
    <xf numFmtId="0" fontId="0" fillId="340" borderId="3" xfId="0" applyFill="1" applyBorder="1" applyAlignment="1"/>
    <xf numFmtId="0" fontId="0" fillId="442" borderId="4" xfId="0" applyFill="1" applyBorder="1" applyAlignment="1"/>
    <xf numFmtId="0" fontId="0" fillId="257" borderId="2" xfId="0" applyFill="1" applyBorder="1" applyAlignment="1"/>
    <xf numFmtId="0" fontId="0" fillId="353" borderId="3" xfId="0" applyFill="1" applyBorder="1" applyAlignment="1"/>
    <xf numFmtId="0" fontId="0" fillId="458" borderId="4" xfId="0" applyFill="1" applyBorder="1" applyAlignment="1"/>
    <xf numFmtId="0" fontId="0" fillId="174" borderId="2" xfId="0" applyFill="1" applyBorder="1" applyAlignment="1"/>
    <xf numFmtId="0" fontId="0" fillId="282" borderId="3" xfId="0" applyFill="1" applyBorder="1" applyAlignment="1"/>
    <xf numFmtId="0" fontId="0" fillId="366" borderId="4" xfId="0" applyFill="1" applyBorder="1" applyAlignment="1"/>
    <xf numFmtId="0" fontId="0" fillId="195" borderId="2" xfId="0" applyFill="1" applyBorder="1" applyAlignment="1"/>
    <xf numFmtId="0" fontId="0" fillId="265" borderId="3" xfId="0" applyFill="1" applyBorder="1" applyAlignment="1"/>
    <xf numFmtId="0" fontId="0" fillId="385" borderId="4" xfId="0" applyFill="1" applyBorder="1" applyAlignment="1"/>
    <xf numFmtId="0" fontId="0" fillId="401" borderId="4" xfId="0" applyFill="1" applyBorder="1" applyAlignment="1"/>
    <xf numFmtId="0" fontId="0" fillId="224" borderId="2" xfId="0" applyFill="1" applyBorder="1" applyAlignment="1"/>
    <xf numFmtId="0" fontId="0" fillId="297" borderId="3" xfId="0" applyFill="1" applyBorder="1" applyAlignment="1"/>
    <xf numFmtId="0" fontId="0" fillId="419" borderId="4" xfId="0" applyFill="1" applyBorder="1" applyAlignment="1"/>
    <xf numFmtId="0" fontId="0" fillId="237" borderId="2" xfId="0" applyFill="1" applyBorder="1" applyAlignment="1"/>
    <xf numFmtId="0" fontId="0" fillId="306" borderId="3" xfId="0" applyFill="1" applyBorder="1" applyAlignment="1"/>
    <xf numFmtId="0" fontId="0" fillId="429" borderId="4" xfId="0" applyFill="1" applyBorder="1" applyAlignment="1"/>
    <xf numFmtId="0" fontId="0" fillId="250" borderId="2" xfId="0" applyFill="1" applyBorder="1" applyAlignment="1"/>
    <xf numFmtId="0" fontId="0" fillId="341" borderId="3" xfId="0" applyFill="1" applyBorder="1" applyAlignment="1"/>
    <xf numFmtId="0" fontId="0" fillId="443" borderId="4" xfId="0" applyFill="1" applyBorder="1" applyAlignment="1"/>
    <xf numFmtId="0" fontId="0" fillId="190" borderId="2" xfId="0" applyFill="1" applyBorder="1" applyAlignment="1"/>
    <xf numFmtId="0" fontId="0" fillId="354" borderId="3" xfId="0" applyFill="1" applyBorder="1" applyAlignment="1"/>
    <xf numFmtId="0" fontId="0" fillId="452" borderId="4" xfId="0" applyFill="1" applyBorder="1" applyAlignment="1"/>
    <xf numFmtId="0" fontId="0" fillId="175" borderId="2" xfId="0" applyFill="1" applyBorder="1" applyAlignment="1"/>
    <xf numFmtId="0" fontId="0" fillId="266" borderId="3" xfId="0" applyFill="1" applyBorder="1" applyAlignment="1"/>
    <xf numFmtId="0" fontId="0" fillId="367" borderId="4" xfId="0" applyFill="1" applyBorder="1" applyAlignment="1"/>
    <xf numFmtId="0" fontId="0" fillId="230" borderId="2" xfId="0" applyFill="1" applyBorder="1" applyAlignment="1"/>
    <xf numFmtId="0" fontId="0" fillId="327" borderId="3" xfId="0" applyFill="1" applyBorder="1" applyAlignment="1"/>
    <xf numFmtId="0" fontId="0" fillId="378" borderId="4" xfId="0" applyFill="1" applyBorder="1" applyAlignment="1"/>
    <xf numFmtId="0" fontId="0" fillId="342" borderId="3" xfId="0" applyFill="1" applyBorder="1" applyAlignment="1"/>
    <xf numFmtId="0" fontId="0" fillId="444" borderId="4" xfId="0" applyFill="1" applyBorder="1" applyAlignment="1"/>
    <xf numFmtId="0" fontId="0" fillId="176" borderId="2" xfId="0" applyFill="1" applyBorder="1" applyAlignment="1"/>
    <xf numFmtId="0" fontId="0" fillId="355" borderId="3" xfId="0" applyFill="1" applyBorder="1" applyAlignment="1"/>
    <xf numFmtId="0" fontId="0" fillId="368" borderId="4" xfId="0" applyFill="1" applyBorder="1" applyAlignment="1"/>
    <xf numFmtId="0" fontId="0" fillId="196" borderId="2" xfId="0" applyFill="1" applyBorder="1" applyAlignment="1"/>
    <xf numFmtId="0" fontId="0" fillId="267" borderId="3" xfId="0" applyFill="1" applyBorder="1" applyAlignment="1"/>
    <xf numFmtId="0" fontId="0" fillId="386" borderId="4" xfId="0" applyFill="1" applyBorder="1" applyAlignment="1"/>
    <xf numFmtId="0" fontId="0" fillId="211" borderId="2" xfId="0" applyFill="1" applyBorder="1" applyAlignment="1"/>
    <xf numFmtId="0" fontId="0" fillId="276" borderId="3" xfId="0" applyFill="1" applyBorder="1" applyAlignment="1"/>
    <xf numFmtId="0" fontId="0" fillId="402" borderId="4" xfId="0" applyFill="1" applyBorder="1" applyAlignment="1"/>
    <xf numFmtId="0" fontId="0" fillId="225" borderId="2" xfId="0" applyFill="1" applyBorder="1" applyAlignment="1"/>
    <xf numFmtId="0" fontId="0" fillId="298" borderId="3" xfId="0" applyFill="1" applyBorder="1" applyAlignment="1"/>
    <xf numFmtId="0" fontId="0" fillId="420" borderId="4" xfId="0" applyFill="1" applyBorder="1" applyAlignment="1"/>
    <xf numFmtId="0" fontId="0" fillId="187" borderId="2" xfId="0" applyFill="1" applyBorder="1" applyAlignment="1"/>
    <xf numFmtId="0" fontId="0" fillId="319" borderId="3" xfId="0" applyFill="1" applyBorder="1" applyAlignment="1"/>
    <xf numFmtId="0" fontId="0" fillId="430" borderId="4" xfId="0" applyFill="1" applyBorder="1" applyAlignment="1"/>
    <xf numFmtId="0" fontId="0" fillId="307" borderId="3" xfId="0" applyFill="1" applyBorder="1" applyAlignment="1"/>
    <xf numFmtId="0" fontId="0" fillId="411" borderId="4" xfId="0" applyFill="1" applyBorder="1" applyAlignment="1"/>
    <xf numFmtId="0" fontId="0" fillId="251" borderId="2" xfId="0" applyFill="1" applyBorder="1" applyAlignment="1"/>
    <xf numFmtId="0" fontId="0" fillId="343" borderId="3" xfId="0" applyFill="1" applyBorder="1" applyAlignment="1"/>
    <xf numFmtId="0" fontId="0" fillId="445" borderId="4" xfId="0" applyFill="1" applyBorder="1" applyAlignment="1"/>
    <xf numFmtId="0" fontId="0" fillId="178" borderId="2" xfId="0" applyFill="1" applyBorder="1" applyAlignment="1"/>
    <xf numFmtId="0" fontId="0" fillId="356" borderId="3" xfId="0" applyFill="1" applyBorder="1" applyAlignment="1"/>
    <xf numFmtId="0" fontId="0" fillId="459" borderId="4" xfId="0" applyFill="1" applyBorder="1" applyAlignment="1"/>
    <xf numFmtId="0" fontId="0" fillId="177" borderId="2" xfId="0" applyFill="1" applyBorder="1" applyAlignment="1"/>
    <xf numFmtId="0" fontId="0" fillId="333" borderId="3" xfId="0" applyFill="1" applyBorder="1" applyAlignment="1"/>
    <xf numFmtId="0" fontId="0" fillId="369" borderId="4" xfId="0" applyFill="1" applyBorder="1" applyAlignment="1"/>
    <xf numFmtId="0" fontId="0" fillId="197" borderId="2" xfId="0" applyFill="1" applyBorder="1" applyAlignment="1"/>
    <xf numFmtId="0" fontId="0" fillId="268" borderId="3" xfId="0" applyFill="1" applyBorder="1" applyAlignment="1"/>
    <xf numFmtId="0" fontId="0" fillId="387" borderId="4" xfId="0" applyFill="1" applyBorder="1" applyAlignment="1"/>
    <xf numFmtId="0" fontId="0" fillId="232" borderId="2" xfId="0" applyFill="1" applyBorder="1" applyAlignment="1"/>
    <xf numFmtId="0" fontId="0" fillId="310" borderId="3" xfId="0" applyFill="1" applyBorder="1" applyAlignment="1"/>
    <xf numFmtId="0" fontId="0" fillId="453" borderId="4" xfId="0" applyFill="1" applyBorder="1" applyAlignment="1"/>
    <xf numFmtId="0" fontId="0" fillId="291" borderId="3" xfId="0" applyFill="1" applyBorder="1" applyAlignment="1"/>
    <xf numFmtId="0" fontId="0" fillId="370" borderId="4" xfId="0" applyFill="1" applyBorder="1" applyAlignment="1"/>
    <xf numFmtId="0" fontId="0" fillId="198" borderId="2" xfId="0" applyFill="1" applyBorder="1" applyAlignment="1"/>
    <xf numFmtId="0" fontId="0" fillId="269" borderId="3" xfId="0" applyFill="1" applyBorder="1" applyAlignment="1"/>
    <xf numFmtId="0" fontId="0" fillId="388" borderId="4" xfId="0" applyFill="1" applyBorder="1" applyAlignment="1"/>
    <xf numFmtId="0" fontId="0" fillId="212" borderId="2" xfId="0" applyFill="1" applyBorder="1" applyAlignment="1"/>
    <xf numFmtId="0" fontId="0" fillId="277" borderId="3" xfId="0" applyFill="1" applyBorder="1" applyAlignment="1"/>
    <xf numFmtId="0" fontId="0" fillId="403" borderId="4" xfId="0" applyFill="1" applyBorder="1" applyAlignment="1"/>
    <xf numFmtId="0" fontId="0" fillId="226" borderId="2" xfId="0" applyFill="1" applyBorder="1" applyAlignment="1"/>
    <xf numFmtId="0" fontId="0" fillId="299" borderId="3" xfId="0" applyFill="1" applyBorder="1" applyAlignment="1"/>
    <xf numFmtId="0" fontId="0" fillId="421" borderId="4" xfId="0" applyFill="1" applyBorder="1" applyAlignment="1"/>
    <xf numFmtId="0" fontId="0" fillId="238" borderId="2" xfId="0" applyFill="1" applyBorder="1" applyAlignment="1"/>
    <xf numFmtId="0" fontId="0" fillId="320" borderId="3" xfId="0" applyFill="1" applyBorder="1" applyAlignment="1"/>
    <xf numFmtId="0" fontId="0" fillId="431" borderId="4" xfId="0" applyFill="1" applyBorder="1" applyAlignment="1"/>
    <xf numFmtId="0" fontId="0" fillId="204" borderId="2" xfId="0" applyFill="1" applyBorder="1" applyAlignment="1"/>
    <xf numFmtId="0" fontId="0" fillId="308" borderId="3" xfId="0" applyFill="1" applyBorder="1" applyAlignment="1"/>
    <xf numFmtId="0" fontId="0" fillId="436" borderId="4" xfId="0" applyFill="1" applyBorder="1" applyAlignment="1"/>
    <xf numFmtId="0" fontId="0" fillId="252" borderId="2" xfId="0" applyFill="1" applyBorder="1" applyAlignment="1"/>
    <xf numFmtId="0" fontId="0" fillId="344" borderId="3" xfId="0" applyFill="1" applyBorder="1" applyAlignment="1"/>
    <xf numFmtId="0" fontId="0" fillId="446" borderId="4" xfId="0" applyFill="1" applyBorder="1" applyAlignment="1"/>
    <xf numFmtId="0" fontId="0" fillId="244" borderId="2" xfId="0" applyFill="1" applyBorder="1" applyAlignment="1"/>
    <xf numFmtId="0" fontId="0" fillId="281" borderId="3" xfId="0" applyFill="1" applyBorder="1" applyAlignment="1"/>
    <xf numFmtId="0" fontId="0" fillId="460" borderId="4" xfId="0" applyFill="1" applyBorder="1" applyAlignment="1"/>
    <xf numFmtId="0" fontId="0" fillId="179" borderId="2" xfId="0" applyFill="1" applyBorder="1" applyAlignment="1"/>
    <xf numFmtId="0" fontId="0" fillId="359" borderId="3" xfId="0" applyFill="1" applyBorder="1" applyAlignment="1"/>
    <xf numFmtId="0" fontId="0" fillId="371" borderId="4" xfId="0" applyFill="1" applyBorder="1" applyAlignment="1"/>
    <xf numFmtId="0" fontId="0" fillId="270" borderId="3" xfId="0" applyFill="1" applyBorder="1" applyAlignment="1"/>
    <xf numFmtId="0" fontId="0" fillId="389" borderId="4" xfId="0" applyFill="1" applyBorder="1" applyAlignment="1"/>
    <xf numFmtId="0" fontId="0" fillId="213" borderId="2" xfId="0" applyFill="1" applyBorder="1" applyAlignment="1"/>
    <xf numFmtId="0" fontId="0" fillId="286" borderId="3" xfId="0" applyFill="1" applyBorder="1" applyAlignment="1"/>
    <xf numFmtId="0" fontId="0" fillId="404" borderId="4" xfId="0" applyFill="1" applyBorder="1" applyAlignment="1"/>
    <xf numFmtId="0" fontId="0" fillId="227" borderId="2" xfId="0" applyFill="1" applyBorder="1" applyAlignment="1"/>
    <xf numFmtId="0" fontId="0" fillId="300" borderId="3" xfId="0" applyFill="1" applyBorder="1" applyAlignment="1"/>
    <xf numFmtId="0" fontId="0" fillId="422" borderId="4" xfId="0" applyFill="1" applyBorder="1" applyAlignment="1"/>
    <xf numFmtId="0" fontId="0" fillId="239" borderId="2" xfId="0" applyFill="1" applyBorder="1" applyAlignment="1"/>
    <xf numFmtId="0" fontId="0" fillId="321" borderId="3" xfId="0" applyFill="1" applyBorder="1" applyAlignment="1"/>
    <xf numFmtId="0" fontId="0" fillId="432" borderId="4" xfId="0" applyFill="1" applyBorder="1" applyAlignment="1"/>
    <xf numFmtId="0" fontId="0" fillId="242" borderId="2" xfId="0" applyFill="1" applyBorder="1" applyAlignment="1"/>
    <xf numFmtId="0" fontId="0" fillId="328" borderId="3" xfId="0" applyFill="1" applyBorder="1" applyAlignment="1"/>
    <xf numFmtId="0" fontId="0" fillId="379" borderId="4" xfId="0" applyFill="1" applyBorder="1" applyAlignment="1"/>
    <xf numFmtId="0" fontId="0" fillId="206" borderId="2" xfId="0" applyFill="1" applyBorder="1" applyAlignment="1"/>
    <xf numFmtId="0" fontId="0" fillId="345" borderId="3" xfId="0" applyFill="1" applyBorder="1" applyAlignment="1"/>
    <xf numFmtId="0" fontId="0" fillId="447" borderId="4" xfId="0" applyFill="1" applyBorder="1" applyAlignment="1"/>
    <xf numFmtId="0" fontId="0" fillId="357" borderId="3" xfId="0" applyFill="1" applyBorder="1" applyAlignment="1"/>
    <xf numFmtId="0" fontId="0" fillId="454" borderId="4" xfId="0" applyFill="1" applyBorder="1" applyAlignment="1"/>
    <xf numFmtId="0" fontId="0" fillId="188" borderId="2" xfId="0" applyFill="1" applyBorder="1" applyAlignment="1"/>
    <xf numFmtId="0" fontId="0" fillId="309" borderId="3" xfId="0" applyFill="1" applyBorder="1" applyAlignment="1"/>
    <xf numFmtId="0" fontId="0" fillId="412" borderId="4" xfId="0" applyFill="1" applyBorder="1" applyAlignment="1"/>
    <xf numFmtId="0" fontId="0" fillId="253" borderId="2" xfId="0" applyFill="1" applyBorder="1" applyAlignment="1"/>
    <xf numFmtId="0" fontId="0" fillId="346" borderId="3" xfId="0" applyFill="1" applyBorder="1" applyAlignment="1"/>
    <xf numFmtId="0" fontId="0" fillId="448" borderId="4" xfId="0" applyFill="1" applyBorder="1" applyAlignment="1"/>
    <xf numFmtId="0" fontId="0" fillId="191" borderId="2" xfId="0" applyFill="1" applyBorder="1" applyAlignment="1"/>
    <xf numFmtId="0" fontId="0" fillId="330" borderId="3" xfId="0" applyFill="1" applyBorder="1" applyAlignment="1"/>
    <xf numFmtId="0" fontId="0" fillId="461" borderId="4" xfId="0" applyFill="1" applyBorder="1" applyAlignment="1"/>
    <xf numFmtId="0" fontId="0" fillId="181" borderId="2" xfId="0" applyFill="1" applyBorder="1" applyAlignment="1"/>
    <xf numFmtId="0" fontId="0" fillId="283" borderId="3" xfId="0" applyFill="1" applyBorder="1" applyAlignment="1"/>
    <xf numFmtId="0" fontId="0" fillId="373" borderId="4" xfId="0" applyFill="1" applyBorder="1" applyAlignment="1"/>
    <xf numFmtId="0" fontId="0" fillId="199" borderId="2" xfId="0" applyFill="1" applyBorder="1" applyAlignment="1"/>
    <xf numFmtId="0" fontId="0" fillId="271" borderId="3" xfId="0" applyFill="1" applyBorder="1" applyAlignment="1"/>
    <xf numFmtId="0" fontId="0" fillId="390" borderId="4" xfId="0" applyFill="1" applyBorder="1" applyAlignment="1"/>
    <xf numFmtId="0" fontId="0" fillId="214" borderId="2" xfId="0" applyFill="1" applyBorder="1" applyAlignment="1"/>
    <xf numFmtId="0" fontId="0" fillId="278" borderId="3" xfId="0" applyFill="1" applyBorder="1" applyAlignment="1"/>
    <xf numFmtId="0" fontId="0" fillId="405" borderId="4" xfId="0" applyFill="1" applyBorder="1" applyAlignment="1"/>
    <xf numFmtId="0" fontId="0" fillId="228" borderId="2" xfId="0" applyFill="1" applyBorder="1" applyAlignment="1"/>
    <xf numFmtId="0" fontId="0" fillId="301" borderId="3" xfId="0" applyFill="1" applyBorder="1" applyAlignment="1"/>
    <xf numFmtId="0" fontId="0" fillId="423" borderId="4" xfId="0" applyFill="1" applyBorder="1" applyAlignment="1"/>
    <xf numFmtId="0" fontId="0" fillId="240" borderId="2" xfId="0" applyFill="1" applyBorder="1" applyAlignment="1"/>
    <xf numFmtId="0" fontId="0" fillId="322" borderId="3" xfId="0" applyFill="1" applyBorder="1" applyAlignment="1"/>
    <xf numFmtId="0" fontId="0" fillId="433" borderId="4" xfId="0" applyFill="1" applyBorder="1" applyAlignment="1"/>
    <xf numFmtId="0" fontId="0" fillId="231" borderId="2" xfId="0" applyFill="1" applyBorder="1" applyAlignment="1"/>
    <xf numFmtId="0" fontId="0" fillId="288" borderId="3" xfId="0" applyFill="1" applyBorder="1" applyAlignment="1"/>
    <xf numFmtId="0" fontId="0" fillId="380" borderId="4" xfId="0" applyFill="1" applyBorder="1" applyAlignment="1"/>
    <xf numFmtId="0" fontId="0" fillId="254" borderId="2" xfId="0" applyFill="1" applyBorder="1" applyAlignment="1"/>
    <xf numFmtId="0" fontId="0" fillId="347" borderId="3" xfId="0" applyFill="1" applyBorder="1" applyAlignment="1"/>
    <xf numFmtId="0" fontId="0" fillId="449" borderId="4" xfId="0" applyFill="1" applyBorder="1" applyAlignment="1"/>
    <xf numFmtId="0" fontId="0" fillId="219" borderId="2" xfId="0" applyFill="1" applyBorder="1" applyAlignment="1"/>
    <xf numFmtId="0" fontId="0" fillId="289" borderId="3" xfId="0" applyFill="1" applyBorder="1" applyAlignment="1"/>
    <xf numFmtId="0" fontId="0" fillId="413" borderId="4" xfId="0" applyFill="1" applyBorder="1" applyAlignment="1"/>
    <xf numFmtId="0" fontId="0" fillId="182" borderId="2" xfId="0" applyFill="1" applyBorder="1" applyAlignment="1"/>
    <xf numFmtId="0" fontId="0" fillId="334" borderId="3" xfId="0" applyFill="1" applyBorder="1" applyAlignment="1"/>
    <xf numFmtId="0" fontId="0" fillId="374" borderId="4" xfId="0" applyFill="1" applyBorder="1" applyAlignment="1"/>
    <xf numFmtId="0" fontId="0" fillId="200" borderId="2" xfId="0" applyFill="1" applyBorder="1" applyAlignment="1"/>
    <xf numFmtId="0" fontId="0" fillId="272" borderId="3" xfId="0" applyFill="1" applyBorder="1" applyAlignment="1"/>
    <xf numFmtId="0" fontId="0" fillId="391" borderId="4" xfId="0" applyFill="1" applyBorder="1" applyAlignment="1"/>
    <xf numFmtId="0" fontId="0" fillId="215" borderId="2" xfId="0" applyFill="1" applyBorder="1" applyAlignment="1"/>
    <xf numFmtId="0" fontId="0" fillId="287" borderId="3" xfId="0" applyFill="1" applyBorder="1" applyAlignment="1"/>
    <xf numFmtId="0" fontId="0" fillId="406" borderId="4" xfId="0" applyFill="1" applyBorder="1" applyAlignment="1"/>
    <xf numFmtId="0" fontId="0" fillId="168" borderId="2" xfId="0" applyFill="1" applyBorder="1" applyAlignment="1"/>
    <xf numFmtId="0" fontId="0" fillId="280" borderId="3" xfId="0" applyFill="1" applyBorder="1" applyAlignment="1"/>
    <xf numFmtId="0" fontId="0" fillId="408" borderId="4" xfId="0" applyFill="1" applyBorder="1" applyAlignment="1"/>
    <xf numFmtId="0" fontId="0" fillId="258" borderId="2" xfId="0" applyFill="1" applyBorder="1" applyAlignment="1"/>
    <xf numFmtId="0" fontId="0" fillId="311" borderId="3" xfId="0" applyFill="1" applyBorder="1" applyAlignment="1"/>
    <xf numFmtId="0" fontId="0" fillId="455" borderId="4" xfId="0" applyFill="1" applyBorder="1" applyAlignment="1"/>
    <xf numFmtId="0" fontId="0" fillId="183" borderId="2" xfId="0" applyFill="1" applyBorder="1" applyAlignment="1"/>
    <xf numFmtId="0" fontId="0" fillId="313" borderId="3" xfId="0" applyFill="1" applyBorder="1" applyAlignment="1"/>
    <xf numFmtId="0" fontId="0" fillId="375" borderId="4" xfId="0" applyFill="1" applyBorder="1" applyAlignment="1"/>
    <xf numFmtId="0" fontId="0" fillId="201" borderId="2" xfId="0" applyFill="1" applyBorder="1" applyAlignment="1"/>
    <xf numFmtId="0" fontId="0" fillId="273" borderId="3" xfId="0" applyFill="1" applyBorder="1" applyAlignment="1"/>
    <xf numFmtId="0" fontId="0" fillId="392" borderId="4" xfId="0" applyFill="1" applyBorder="1" applyAlignment="1"/>
    <xf numFmtId="0" fontId="0" fillId="216" borderId="2" xfId="0" applyFill="1" applyBorder="1" applyAlignment="1"/>
    <xf numFmtId="0" fontId="0" fillId="279" borderId="3" xfId="0" applyFill="1" applyBorder="1" applyAlignment="1"/>
    <xf numFmtId="0" fontId="0" fillId="407" borderId="4" xfId="0" applyFill="1" applyBorder="1" applyAlignment="1"/>
    <xf numFmtId="0" fontId="0" fillId="229" borderId="2" xfId="0" applyFill="1" applyBorder="1" applyAlignment="1"/>
    <xf numFmtId="0" fontId="0" fillId="302" borderId="3" xfId="0" applyFill="1" applyBorder="1" applyAlignment="1"/>
    <xf numFmtId="0" fontId="0" fillId="393" borderId="4" xfId="0" applyFill="1" applyBorder="1" applyAlignment="1"/>
    <xf numFmtId="0" fontId="0" fillId="241" borderId="2" xfId="0" applyFill="1" applyBorder="1" applyAlignment="1"/>
    <xf numFmtId="0" fontId="0" fillId="323" borderId="3" xfId="0" applyFill="1" applyBorder="1" applyAlignment="1"/>
    <xf numFmtId="0" fontId="0" fillId="434" borderId="4" xfId="0" applyFill="1" applyBorder="1" applyAlignment="1"/>
    <xf numFmtId="0" fontId="0" fillId="189" borderId="2" xfId="0" applyFill="1" applyBorder="1" applyAlignment="1"/>
    <xf numFmtId="0" fontId="0" fillId="329" borderId="3" xfId="0" applyFill="1" applyBorder="1" applyAlignment="1"/>
    <xf numFmtId="0" fontId="0" fillId="396" borderId="4" xfId="0" applyFill="1" applyBorder="1" applyAlignment="1"/>
    <xf numFmtId="0" fontId="0" fillId="255" borderId="2" xfId="0" applyFill="1" applyBorder="1" applyAlignment="1"/>
    <xf numFmtId="0" fontId="0" fillId="348" borderId="3" xfId="0" applyFill="1" applyBorder="1" applyAlignment="1"/>
    <xf numFmtId="0" fontId="0" fillId="450" borderId="4" xfId="0" applyFill="1" applyBorder="1" applyAlignment="1"/>
    <xf numFmtId="0" fontId="0" fillId="207" borderId="2" xfId="0" applyFill="1" applyBorder="1" applyAlignment="1"/>
    <xf numFmtId="0" fontId="0" fillId="331" borderId="3" xfId="0" applyFill="1" applyBorder="1" applyAlignment="1"/>
    <xf numFmtId="0" fontId="0" fillId="462" borderId="4" xfId="0" applyFill="1" applyBorder="1" applyAlignment="1"/>
    <xf numFmtId="0" fontId="0" fillId="184" borderId="2" xfId="0" applyFill="1" applyBorder="1" applyAlignment="1"/>
    <xf numFmtId="0" fontId="0" fillId="360" borderId="3" xfId="0" applyFill="1" applyBorder="1" applyAlignment="1"/>
    <xf numFmtId="0" fontId="0" fillId="376" borderId="4" xfId="0" applyFill="1" applyBorder="1" applyAlignment="1"/>
    <xf numFmtId="0" fontId="11" fillId="3" borderId="1" xfId="1" applyFont="1" applyFill="1" applyBorder="1" applyAlignment="1">
      <alignment horizontal="left" vertical="center"/>
    </xf>
    <xf numFmtId="0" fontId="0" fillId="464" borderId="1" xfId="0" applyFill="1" applyBorder="1" applyAlignment="1"/>
    <xf numFmtId="0" fontId="0" fillId="465" borderId="2" xfId="0" applyFill="1" applyBorder="1" applyAlignment="1"/>
    <xf numFmtId="0" fontId="0" fillId="466" borderId="4" xfId="0" applyFill="1" applyBorder="1" applyAlignment="1"/>
    <xf numFmtId="0" fontId="0" fillId="467" borderId="3" xfId="0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AECF0"/>
      <color rgb="FFAA00AA"/>
      <color rgb="FFFF69FF"/>
      <color rgb="FFFFD7FF"/>
      <color rgb="FFBEBEBE"/>
      <color rgb="FF0563C1"/>
      <color rgb="FFF8F9FA"/>
      <color rgb="FFA2A9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Cyan" TargetMode="External"/><Relationship Id="rId117" Type="http://schemas.openxmlformats.org/officeDocument/2006/relationships/hyperlink" Target="https://en.wikipedia.org/wiki/Eric_A._Meyer" TargetMode="External"/><Relationship Id="rId21" Type="http://schemas.openxmlformats.org/officeDocument/2006/relationships/hyperlink" Target="https://en.wikipedia.org/wiki/Chartreuse_(color)" TargetMode="External"/><Relationship Id="rId42" Type="http://schemas.openxmlformats.org/officeDocument/2006/relationships/hyperlink" Target="https://en.wikipedia.org/wiki/Variations_of_pink" TargetMode="External"/><Relationship Id="rId47" Type="http://schemas.openxmlformats.org/officeDocument/2006/relationships/hyperlink" Target="https://en.wikipedia.org/wiki/Variations_of_green" TargetMode="External"/><Relationship Id="rId63" Type="http://schemas.openxmlformats.org/officeDocument/2006/relationships/hyperlink" Target="https://en.wikipedia.org/wiki/Khaki" TargetMode="External"/><Relationship Id="rId68" Type="http://schemas.openxmlformats.org/officeDocument/2006/relationships/hyperlink" Target="https://en.wikipedia.org/wiki/Variations_of_blue" TargetMode="External"/><Relationship Id="rId84" Type="http://schemas.openxmlformats.org/officeDocument/2006/relationships/hyperlink" Target="https://en.wikipedia.org/wiki/Maroon_(color)" TargetMode="External"/><Relationship Id="rId89" Type="http://schemas.openxmlformats.org/officeDocument/2006/relationships/hyperlink" Target="https://en.wikipedia.org/wiki/Shades_of_purple" TargetMode="External"/><Relationship Id="rId112" Type="http://schemas.openxmlformats.org/officeDocument/2006/relationships/hyperlink" Target="https://en.wikipedia.org/wiki/Pink" TargetMode="External"/><Relationship Id="rId133" Type="http://schemas.openxmlformats.org/officeDocument/2006/relationships/hyperlink" Target="https://en.wikipedia.org/wiki/Tan_(color)" TargetMode="External"/><Relationship Id="rId138" Type="http://schemas.openxmlformats.org/officeDocument/2006/relationships/hyperlink" Target="https://en.wikipedia.org/wiki/Violet_(color)" TargetMode="External"/><Relationship Id="rId16" Type="http://schemas.openxmlformats.org/officeDocument/2006/relationships/hyperlink" Target="https://en.wikipedia.org/wiki/Black" TargetMode="External"/><Relationship Id="rId107" Type="http://schemas.openxmlformats.org/officeDocument/2006/relationships/hyperlink" Target="https://en.wikipedia.org/wiki/Turquoise_(color)" TargetMode="External"/><Relationship Id="rId11" Type="http://schemas.openxmlformats.org/officeDocument/2006/relationships/hyperlink" Target="https://en.wikipedia.org/wiki/Antique_white" TargetMode="External"/><Relationship Id="rId32" Type="http://schemas.openxmlformats.org/officeDocument/2006/relationships/hyperlink" Target="https://en.wikipedia.org/wiki/Khaki_(color)" TargetMode="External"/><Relationship Id="rId37" Type="http://schemas.openxmlformats.org/officeDocument/2006/relationships/hyperlink" Target="https://en.wikipedia.org/wiki/Maroon_(color)" TargetMode="External"/><Relationship Id="rId53" Type="http://schemas.openxmlformats.org/officeDocument/2006/relationships/hyperlink" Target="https://en.wikipedia.org/wiki/Grey" TargetMode="External"/><Relationship Id="rId58" Type="http://schemas.openxmlformats.org/officeDocument/2006/relationships/hyperlink" Target="https://en.wikipedia.org/wiki/Spring_green_(color)" TargetMode="External"/><Relationship Id="rId74" Type="http://schemas.openxmlformats.org/officeDocument/2006/relationships/hyperlink" Target="https://en.wikipedia.org/wiki/Light_pink" TargetMode="External"/><Relationship Id="rId79" Type="http://schemas.openxmlformats.org/officeDocument/2006/relationships/hyperlink" Target="https://en.wikipedia.org/wiki/Steel_blue" TargetMode="External"/><Relationship Id="rId102" Type="http://schemas.openxmlformats.org/officeDocument/2006/relationships/hyperlink" Target="https://en.wikipedia.org/wiki/Shades_of_orange" TargetMode="External"/><Relationship Id="rId123" Type="http://schemas.openxmlformats.org/officeDocument/2006/relationships/hyperlink" Target="https://en.wikipedia.org/wiki/Sea_green" TargetMode="External"/><Relationship Id="rId128" Type="http://schemas.openxmlformats.org/officeDocument/2006/relationships/hyperlink" Target="https://en.wikipedia.org/wiki/Slate_Blue_(color)" TargetMode="External"/><Relationship Id="rId144" Type="http://schemas.openxmlformats.org/officeDocument/2006/relationships/printerSettings" Target="../printerSettings/printerSettings1.bin"/><Relationship Id="rId5" Type="http://schemas.openxmlformats.org/officeDocument/2006/relationships/hyperlink" Target="https://en.wikipedia.org/wiki/HSL_and_HSV" TargetMode="External"/><Relationship Id="rId90" Type="http://schemas.openxmlformats.org/officeDocument/2006/relationships/hyperlink" Target="https://en.wikipedia.org/wiki/Spring_green_(color)" TargetMode="External"/><Relationship Id="rId95" Type="http://schemas.openxmlformats.org/officeDocument/2006/relationships/hyperlink" Target="https://en.wikipedia.org/wiki/Spring_green_(color)" TargetMode="External"/><Relationship Id="rId22" Type="http://schemas.openxmlformats.org/officeDocument/2006/relationships/hyperlink" Target="https://en.wikipedia.org/wiki/Chocolate_(color)" TargetMode="External"/><Relationship Id="rId27" Type="http://schemas.openxmlformats.org/officeDocument/2006/relationships/hyperlink" Target="https://en.wikipedia.org/wiki/Variations_of_blue" TargetMode="External"/><Relationship Id="rId43" Type="http://schemas.openxmlformats.org/officeDocument/2006/relationships/hyperlink" Target="https://en.wikipedia.org/wiki/Deep_sky_blue" TargetMode="External"/><Relationship Id="rId48" Type="http://schemas.openxmlformats.org/officeDocument/2006/relationships/hyperlink" Target="https://en.wikipedia.org/wiki/Fuchsia_(color)" TargetMode="External"/><Relationship Id="rId64" Type="http://schemas.openxmlformats.org/officeDocument/2006/relationships/hyperlink" Target="https://en.wikipedia.org/wiki/Lavender_(color)" TargetMode="External"/><Relationship Id="rId69" Type="http://schemas.openxmlformats.org/officeDocument/2006/relationships/hyperlink" Target="https://en.wikipedia.org/wiki/Light_Coral" TargetMode="External"/><Relationship Id="rId113" Type="http://schemas.openxmlformats.org/officeDocument/2006/relationships/hyperlink" Target="https://en.wikipedia.org/wiki/Plum_(color)" TargetMode="External"/><Relationship Id="rId118" Type="http://schemas.openxmlformats.org/officeDocument/2006/relationships/hyperlink" Target="https://en.wikipedia.org/wiki/Red" TargetMode="External"/><Relationship Id="rId134" Type="http://schemas.openxmlformats.org/officeDocument/2006/relationships/hyperlink" Target="https://en.wikipedia.org/wiki/Teal" TargetMode="External"/><Relationship Id="rId139" Type="http://schemas.openxmlformats.org/officeDocument/2006/relationships/hyperlink" Target="https://en.wikipedia.org/wiki/Wheat_(color)" TargetMode="External"/><Relationship Id="rId80" Type="http://schemas.openxmlformats.org/officeDocument/2006/relationships/hyperlink" Target="https://en.wikipedia.org/wiki/Variations_of_yellow" TargetMode="External"/><Relationship Id="rId85" Type="http://schemas.openxmlformats.org/officeDocument/2006/relationships/hyperlink" Target="https://en.wikipedia.org/wiki/Maroon_(color)" TargetMode="External"/><Relationship Id="rId3" Type="http://schemas.openxmlformats.org/officeDocument/2006/relationships/hyperlink" Target="https://en.wikipedia.org/wiki/RGB" TargetMode="External"/><Relationship Id="rId12" Type="http://schemas.openxmlformats.org/officeDocument/2006/relationships/hyperlink" Target="https://en.wikipedia.org/wiki/Aqua_(color)" TargetMode="External"/><Relationship Id="rId17" Type="http://schemas.openxmlformats.org/officeDocument/2006/relationships/hyperlink" Target="https://en.wikipedia.org/wiki/Blue" TargetMode="External"/><Relationship Id="rId25" Type="http://schemas.openxmlformats.org/officeDocument/2006/relationships/hyperlink" Target="https://en.wikipedia.org/wiki/Crimson" TargetMode="External"/><Relationship Id="rId33" Type="http://schemas.openxmlformats.org/officeDocument/2006/relationships/hyperlink" Target="https://en.wikipedia.org/wiki/Variations_of_magenta" TargetMode="External"/><Relationship Id="rId38" Type="http://schemas.openxmlformats.org/officeDocument/2006/relationships/hyperlink" Target="https://en.wikipedia.org/wiki/Dark_salmon" TargetMode="External"/><Relationship Id="rId46" Type="http://schemas.openxmlformats.org/officeDocument/2006/relationships/hyperlink" Target="https://en.wikipedia.org/wiki/Scarlet_(color)" TargetMode="External"/><Relationship Id="rId59" Type="http://schemas.openxmlformats.org/officeDocument/2006/relationships/hyperlink" Target="https://en.wikipedia.org/wiki/Hot_pink" TargetMode="External"/><Relationship Id="rId67" Type="http://schemas.openxmlformats.org/officeDocument/2006/relationships/hyperlink" Target="https://en.wikipedia.org/wiki/Lemon_(color)" TargetMode="External"/><Relationship Id="rId103" Type="http://schemas.openxmlformats.org/officeDocument/2006/relationships/hyperlink" Target="https://en.wikipedia.org/wiki/Vermilion_(color)" TargetMode="External"/><Relationship Id="rId108" Type="http://schemas.openxmlformats.org/officeDocument/2006/relationships/hyperlink" Target="https://en.wikipedia.org/wiki/Pale_red-violet" TargetMode="External"/><Relationship Id="rId116" Type="http://schemas.openxmlformats.org/officeDocument/2006/relationships/hyperlink" Target="https://en.wikipedia.org/wiki/Purple" TargetMode="External"/><Relationship Id="rId124" Type="http://schemas.openxmlformats.org/officeDocument/2006/relationships/hyperlink" Target="https://en.wikipedia.org/wiki/Seashell_(color)" TargetMode="External"/><Relationship Id="rId129" Type="http://schemas.openxmlformats.org/officeDocument/2006/relationships/hyperlink" Target="https://en.wikipedia.org/wiki/Slate_grey" TargetMode="External"/><Relationship Id="rId137" Type="http://schemas.openxmlformats.org/officeDocument/2006/relationships/hyperlink" Target="https://en.wikipedia.org/wiki/Turquoise_(color)" TargetMode="External"/><Relationship Id="rId20" Type="http://schemas.openxmlformats.org/officeDocument/2006/relationships/hyperlink" Target="https://en.wikipedia.org/wiki/Cadet_grey" TargetMode="External"/><Relationship Id="rId41" Type="http://schemas.openxmlformats.org/officeDocument/2006/relationships/hyperlink" Target="https://en.wikipedia.org/wiki/Violet_(color)" TargetMode="External"/><Relationship Id="rId54" Type="http://schemas.openxmlformats.org/officeDocument/2006/relationships/hyperlink" Target="https://en.wikipedia.org/wiki/Grey" TargetMode="External"/><Relationship Id="rId62" Type="http://schemas.openxmlformats.org/officeDocument/2006/relationships/hyperlink" Target="https://en.wikipedia.org/wiki/Ivory_(color)" TargetMode="External"/><Relationship Id="rId70" Type="http://schemas.openxmlformats.org/officeDocument/2006/relationships/hyperlink" Target="https://en.wikipedia.org/wiki/Shades_of_cyan" TargetMode="External"/><Relationship Id="rId75" Type="http://schemas.openxmlformats.org/officeDocument/2006/relationships/hyperlink" Target="https://en.wikipedia.org/wiki/Salmon_(color)" TargetMode="External"/><Relationship Id="rId83" Type="http://schemas.openxmlformats.org/officeDocument/2006/relationships/hyperlink" Target="https://en.wikipedia.org/wiki/Magenta" TargetMode="External"/><Relationship Id="rId88" Type="http://schemas.openxmlformats.org/officeDocument/2006/relationships/hyperlink" Target="https://en.wikipedia.org/wiki/Orchid_(color)" TargetMode="External"/><Relationship Id="rId91" Type="http://schemas.openxmlformats.org/officeDocument/2006/relationships/hyperlink" Target="https://en.wikipedia.org/wiki/Spring_green_(color)" TargetMode="External"/><Relationship Id="rId96" Type="http://schemas.openxmlformats.org/officeDocument/2006/relationships/hyperlink" Target="https://en.wikipedia.org/wiki/Rose_(color)" TargetMode="External"/><Relationship Id="rId111" Type="http://schemas.openxmlformats.org/officeDocument/2006/relationships/hyperlink" Target="https://en.wikipedia.org/wiki/Shades_of_brown" TargetMode="External"/><Relationship Id="rId132" Type="http://schemas.openxmlformats.org/officeDocument/2006/relationships/hyperlink" Target="https://en.wikipedia.org/wiki/Steel_blue" TargetMode="External"/><Relationship Id="rId140" Type="http://schemas.openxmlformats.org/officeDocument/2006/relationships/hyperlink" Target="https://en.wikipedia.org/wiki/White" TargetMode="External"/><Relationship Id="rId145" Type="http://schemas.openxmlformats.org/officeDocument/2006/relationships/vmlDrawing" Target="../drawings/vmlDrawing1.vml"/><Relationship Id="rId1" Type="http://schemas.openxmlformats.org/officeDocument/2006/relationships/hyperlink" Target="https://en.wikipedia.org/wiki/Web_colors" TargetMode="External"/><Relationship Id="rId6" Type="http://schemas.openxmlformats.org/officeDocument/2006/relationships/hyperlink" Target="https://en.wikipedia.org/wiki/HSL_and_HSV" TargetMode="External"/><Relationship Id="rId15" Type="http://schemas.openxmlformats.org/officeDocument/2006/relationships/hyperlink" Target="https://en.wikipedia.org/wiki/Beige" TargetMode="External"/><Relationship Id="rId23" Type="http://schemas.openxmlformats.org/officeDocument/2006/relationships/hyperlink" Target="https://en.wikipedia.org/wiki/Coral_(color)" TargetMode="External"/><Relationship Id="rId28" Type="http://schemas.openxmlformats.org/officeDocument/2006/relationships/hyperlink" Target="https://en.wikipedia.org/wiki/Cyan" TargetMode="External"/><Relationship Id="rId36" Type="http://schemas.openxmlformats.org/officeDocument/2006/relationships/hyperlink" Target="https://en.wikipedia.org/wiki/Orchid_(color)" TargetMode="External"/><Relationship Id="rId49" Type="http://schemas.openxmlformats.org/officeDocument/2006/relationships/hyperlink" Target="https://en.wikipedia.org/wiki/Variations_of_gray" TargetMode="External"/><Relationship Id="rId57" Type="http://schemas.openxmlformats.org/officeDocument/2006/relationships/hyperlink" Target="https://en.wikipedia.org/wiki/Chartreuse_(color)" TargetMode="External"/><Relationship Id="rId106" Type="http://schemas.openxmlformats.org/officeDocument/2006/relationships/hyperlink" Target="https://en.wikipedia.org/wiki/Variations_of_green" TargetMode="External"/><Relationship Id="rId114" Type="http://schemas.openxmlformats.org/officeDocument/2006/relationships/hyperlink" Target="https://en.wikipedia.org/wiki/Powder_blue" TargetMode="External"/><Relationship Id="rId119" Type="http://schemas.openxmlformats.org/officeDocument/2006/relationships/hyperlink" Target="https://en.wikipedia.org/wiki/Rose_(color)" TargetMode="External"/><Relationship Id="rId127" Type="http://schemas.openxmlformats.org/officeDocument/2006/relationships/hyperlink" Target="https://en.wikipedia.org/wiki/Sky_blue" TargetMode="External"/><Relationship Id="rId10" Type="http://schemas.openxmlformats.org/officeDocument/2006/relationships/hyperlink" Target="https://en.wikipedia.org/wiki/Alice_blue" TargetMode="External"/><Relationship Id="rId31" Type="http://schemas.openxmlformats.org/officeDocument/2006/relationships/hyperlink" Target="https://en.wikipedia.org/wiki/Variations_of_green" TargetMode="External"/><Relationship Id="rId44" Type="http://schemas.openxmlformats.org/officeDocument/2006/relationships/hyperlink" Target="https://en.wikipedia.org/wiki/Shades_of_gray" TargetMode="External"/><Relationship Id="rId52" Type="http://schemas.openxmlformats.org/officeDocument/2006/relationships/hyperlink" Target="https://en.wikipedia.org/wiki/Goldenrod_(color)" TargetMode="External"/><Relationship Id="rId60" Type="http://schemas.openxmlformats.org/officeDocument/2006/relationships/hyperlink" Target="https://en.wikipedia.org/wiki/Indian_red_(color)" TargetMode="External"/><Relationship Id="rId65" Type="http://schemas.openxmlformats.org/officeDocument/2006/relationships/hyperlink" Target="https://en.wikipedia.org/wiki/Lavender_(color)" TargetMode="External"/><Relationship Id="rId73" Type="http://schemas.openxmlformats.org/officeDocument/2006/relationships/hyperlink" Target="https://en.wikipedia.org/wiki/Variations_of_green" TargetMode="External"/><Relationship Id="rId78" Type="http://schemas.openxmlformats.org/officeDocument/2006/relationships/hyperlink" Target="https://en.wikipedia.org/wiki/Slate_gray" TargetMode="External"/><Relationship Id="rId81" Type="http://schemas.openxmlformats.org/officeDocument/2006/relationships/hyperlink" Target="https://en.wikipedia.org/wiki/Lime_(color)" TargetMode="External"/><Relationship Id="rId86" Type="http://schemas.openxmlformats.org/officeDocument/2006/relationships/hyperlink" Target="https://en.wikipedia.org/wiki/Aquamarine_(color)" TargetMode="External"/><Relationship Id="rId94" Type="http://schemas.openxmlformats.org/officeDocument/2006/relationships/hyperlink" Target="https://en.wikipedia.org/wiki/Midnight_blue" TargetMode="External"/><Relationship Id="rId99" Type="http://schemas.openxmlformats.org/officeDocument/2006/relationships/hyperlink" Target="https://en.wikipedia.org/wiki/Old_Lace_(color)" TargetMode="External"/><Relationship Id="rId101" Type="http://schemas.openxmlformats.org/officeDocument/2006/relationships/hyperlink" Target="https://en.wikipedia.org/wiki/Olive_drab" TargetMode="External"/><Relationship Id="rId122" Type="http://schemas.openxmlformats.org/officeDocument/2006/relationships/hyperlink" Target="https://en.wikipedia.org/wiki/Shades_of_brown" TargetMode="External"/><Relationship Id="rId130" Type="http://schemas.openxmlformats.org/officeDocument/2006/relationships/hyperlink" Target="https://en.wikipedia.org/wiki/Shades_of_white" TargetMode="External"/><Relationship Id="rId135" Type="http://schemas.openxmlformats.org/officeDocument/2006/relationships/hyperlink" Target="https://en.wikipedia.org/wiki/Thistle_(color)" TargetMode="External"/><Relationship Id="rId143" Type="http://schemas.openxmlformats.org/officeDocument/2006/relationships/hyperlink" Target="https://en.wikipedia.org/wiki/Yellow-green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3" Type="http://schemas.openxmlformats.org/officeDocument/2006/relationships/hyperlink" Target="https://en.wikipedia.org/wiki/Aquamarine_(color)" TargetMode="External"/><Relationship Id="rId18" Type="http://schemas.openxmlformats.org/officeDocument/2006/relationships/hyperlink" Target="https://en.wikipedia.org/wiki/Indigo" TargetMode="External"/><Relationship Id="rId39" Type="http://schemas.openxmlformats.org/officeDocument/2006/relationships/hyperlink" Target="https://en.wikipedia.org/wiki/Slate_gray" TargetMode="External"/><Relationship Id="rId109" Type="http://schemas.openxmlformats.org/officeDocument/2006/relationships/hyperlink" Target="https://en.wikipedia.org/wiki/Variations_of_orange" TargetMode="External"/><Relationship Id="rId34" Type="http://schemas.openxmlformats.org/officeDocument/2006/relationships/hyperlink" Target="https://en.wikipedia.org/wiki/Olive_(color)" TargetMode="External"/><Relationship Id="rId50" Type="http://schemas.openxmlformats.org/officeDocument/2006/relationships/hyperlink" Target="https://en.wikipedia.org/wiki/Ghost_white" TargetMode="External"/><Relationship Id="rId55" Type="http://schemas.openxmlformats.org/officeDocument/2006/relationships/hyperlink" Target="https://en.wikipedia.org/wiki/Variations_of_green" TargetMode="External"/><Relationship Id="rId76" Type="http://schemas.openxmlformats.org/officeDocument/2006/relationships/hyperlink" Target="https://en.wikipedia.org/wiki/Shades_of_cyan" TargetMode="External"/><Relationship Id="rId97" Type="http://schemas.openxmlformats.org/officeDocument/2006/relationships/hyperlink" Target="https://en.wikipedia.org/wiki/Navajo_white" TargetMode="External"/><Relationship Id="rId104" Type="http://schemas.openxmlformats.org/officeDocument/2006/relationships/hyperlink" Target="https://en.wikipedia.org/wiki/Orchid_(color)" TargetMode="External"/><Relationship Id="rId120" Type="http://schemas.openxmlformats.org/officeDocument/2006/relationships/hyperlink" Target="https://en.wikipedia.org/wiki/Royal_blue" TargetMode="External"/><Relationship Id="rId125" Type="http://schemas.openxmlformats.org/officeDocument/2006/relationships/hyperlink" Target="https://en.wikipedia.org/wiki/Sienna" TargetMode="External"/><Relationship Id="rId141" Type="http://schemas.openxmlformats.org/officeDocument/2006/relationships/hyperlink" Target="https://en.wikipedia.org/wiki/White_smoke_(colour)" TargetMode="External"/><Relationship Id="rId146" Type="http://schemas.openxmlformats.org/officeDocument/2006/relationships/comments" Target="../comments1.xml"/><Relationship Id="rId7" Type="http://schemas.openxmlformats.org/officeDocument/2006/relationships/hyperlink" Target="https://en.wikipedia.org/wiki/HSL_and_HSV" TargetMode="External"/><Relationship Id="rId71" Type="http://schemas.openxmlformats.org/officeDocument/2006/relationships/hyperlink" Target="https://en.wikipedia.org/wiki/Goldenrod_(color)" TargetMode="External"/><Relationship Id="rId92" Type="http://schemas.openxmlformats.org/officeDocument/2006/relationships/hyperlink" Target="https://en.wikipedia.org/wiki/Turquoise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Dark_goldenrod" TargetMode="External"/><Relationship Id="rId24" Type="http://schemas.openxmlformats.org/officeDocument/2006/relationships/hyperlink" Target="https://en.wikipedia.org/wiki/Cornflower_blue" TargetMode="External"/><Relationship Id="rId40" Type="http://schemas.openxmlformats.org/officeDocument/2006/relationships/hyperlink" Target="https://en.wikipedia.org/wiki/Turquoise_(color)" TargetMode="External"/><Relationship Id="rId45" Type="http://schemas.openxmlformats.org/officeDocument/2006/relationships/hyperlink" Target="https://en.wikipedia.org/wiki/Dodger_blue" TargetMode="External"/><Relationship Id="rId66" Type="http://schemas.openxmlformats.org/officeDocument/2006/relationships/hyperlink" Target="https://en.wikipedia.org/wiki/Chartreuse_(color)" TargetMode="External"/><Relationship Id="rId87" Type="http://schemas.openxmlformats.org/officeDocument/2006/relationships/hyperlink" Target="https://en.wikipedia.org/wiki/Variations_of_blue" TargetMode="External"/><Relationship Id="rId110" Type="http://schemas.openxmlformats.org/officeDocument/2006/relationships/hyperlink" Target="https://en.wikipedia.org/wiki/Peach_(color)" TargetMode="External"/><Relationship Id="rId115" Type="http://schemas.openxmlformats.org/officeDocument/2006/relationships/hyperlink" Target="https://en.wikipedia.org/wiki/Purple" TargetMode="External"/><Relationship Id="rId131" Type="http://schemas.openxmlformats.org/officeDocument/2006/relationships/hyperlink" Target="https://en.wikipedia.org/wiki/Spring_green_(color)" TargetMode="External"/><Relationship Id="rId136" Type="http://schemas.openxmlformats.org/officeDocument/2006/relationships/hyperlink" Target="https://en.wikipedia.org/wiki/Tomato_(color)" TargetMode="External"/><Relationship Id="rId61" Type="http://schemas.openxmlformats.org/officeDocument/2006/relationships/hyperlink" Target="https://en.wikipedia.org/wiki/Indigo" TargetMode="External"/><Relationship Id="rId82" Type="http://schemas.openxmlformats.org/officeDocument/2006/relationships/hyperlink" Target="https://en.wikipedia.org/wiki/Lime_(color)" TargetMode="External"/><Relationship Id="rId19" Type="http://schemas.openxmlformats.org/officeDocument/2006/relationships/hyperlink" Target="https://en.wikipedia.org/wiki/Brown" TargetMode="External"/><Relationship Id="rId14" Type="http://schemas.openxmlformats.org/officeDocument/2006/relationships/hyperlink" Target="https://en.wikipedia.org/wiki/Azure_(color)" TargetMode="External"/><Relationship Id="rId30" Type="http://schemas.openxmlformats.org/officeDocument/2006/relationships/hyperlink" Target="https://en.wikipedia.org/wiki/Grey" TargetMode="External"/><Relationship Id="rId35" Type="http://schemas.openxmlformats.org/officeDocument/2006/relationships/hyperlink" Target="https://en.wikipedia.org/wiki/Dark_orange_(colour)" TargetMode="External"/><Relationship Id="rId56" Type="http://schemas.openxmlformats.org/officeDocument/2006/relationships/hyperlink" Target="https://en.wikipedia.org/wiki/Variations_of_green" TargetMode="External"/><Relationship Id="rId77" Type="http://schemas.openxmlformats.org/officeDocument/2006/relationships/hyperlink" Target="https://en.wikipedia.org/wiki/Sky_blue" TargetMode="External"/><Relationship Id="rId100" Type="http://schemas.openxmlformats.org/officeDocument/2006/relationships/hyperlink" Target="https://en.wikipedia.org/wiki/Olive_(color)" TargetMode="External"/><Relationship Id="rId105" Type="http://schemas.openxmlformats.org/officeDocument/2006/relationships/hyperlink" Target="https://en.wikipedia.org/wiki/Goldenrod_(color)" TargetMode="External"/><Relationship Id="rId126" Type="http://schemas.openxmlformats.org/officeDocument/2006/relationships/hyperlink" Target="https://en.wikipedia.org/wiki/Silver_(color)" TargetMode="External"/><Relationship Id="rId8" Type="http://schemas.openxmlformats.org/officeDocument/2006/relationships/hyperlink" Target="https://en.wikipedia.org/wiki/HSL_and_HSV" TargetMode="External"/><Relationship Id="rId51" Type="http://schemas.openxmlformats.org/officeDocument/2006/relationships/hyperlink" Target="https://en.wikipedia.org/wiki/Gold_(color)" TargetMode="External"/><Relationship Id="rId72" Type="http://schemas.openxmlformats.org/officeDocument/2006/relationships/hyperlink" Target="https://en.wikipedia.org/wiki/Grey" TargetMode="External"/><Relationship Id="rId93" Type="http://schemas.openxmlformats.org/officeDocument/2006/relationships/hyperlink" Target="https://en.wikipedia.org/wiki/Red-violet" TargetMode="External"/><Relationship Id="rId98" Type="http://schemas.openxmlformats.org/officeDocument/2006/relationships/hyperlink" Target="https://en.wikipedia.org/wiki/Navy_blue" TargetMode="External"/><Relationship Id="rId121" Type="http://schemas.openxmlformats.org/officeDocument/2006/relationships/hyperlink" Target="https://en.wikipedia.org/wiki/Salmon_(color)" TargetMode="External"/><Relationship Id="rId142" Type="http://schemas.openxmlformats.org/officeDocument/2006/relationships/hyperlink" Target="https://en.wikipedia.org/wiki/Yello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23555-1687-460F-8EAC-60CF8FF5C0B1}">
  <sheetPr codeName="Sheet1"/>
  <dimension ref="A1:Q149"/>
  <sheetViews>
    <sheetView tabSelected="1" workbookViewId="0">
      <pane ySplit="1" topLeftCell="A69" activePane="bottomLeft" state="frozen"/>
      <selection pane="bottomLeft" activeCell="D82" sqref="D82"/>
    </sheetView>
  </sheetViews>
  <sheetFormatPr defaultRowHeight="15" x14ac:dyDescent="0.25"/>
  <cols>
    <col min="1" max="1" width="9.140625" style="1"/>
    <col min="2" max="2" width="20.5703125" style="1" bestFit="1" customWidth="1"/>
    <col min="3" max="3" width="10.28515625" style="1" bestFit="1" customWidth="1"/>
    <col min="4" max="4" width="6" style="14" bestFit="1" customWidth="1"/>
    <col min="5" max="5" width="6.42578125" style="14" bestFit="1" customWidth="1"/>
    <col min="6" max="6" width="6" style="14" bestFit="1" customWidth="1"/>
    <col min="7" max="7" width="10" style="1" bestFit="1" customWidth="1"/>
    <col min="8" max="11" width="6.28515625" style="14" bestFit="1" customWidth="1"/>
    <col min="12" max="12" width="5.5703125" style="14" bestFit="1" customWidth="1"/>
    <col min="13" max="13" width="6.140625" style="14" bestFit="1" customWidth="1"/>
    <col min="14" max="14" width="5.5703125" style="14" bestFit="1" customWidth="1"/>
    <col min="15" max="16384" width="9.140625" style="1"/>
  </cols>
  <sheetData>
    <row r="1" spans="1:17" s="2" customFormat="1" ht="33.75" customHeight="1" thickTop="1" thickBot="1" x14ac:dyDescent="0.3">
      <c r="A1" s="168" t="s">
        <v>209</v>
      </c>
      <c r="B1" s="3" t="s">
        <v>0</v>
      </c>
      <c r="C1" s="4" t="s">
        <v>197</v>
      </c>
      <c r="D1" s="8" t="s">
        <v>198</v>
      </c>
      <c r="E1" s="9" t="s">
        <v>199</v>
      </c>
      <c r="F1" s="10" t="s">
        <v>200</v>
      </c>
      <c r="G1" s="4" t="s">
        <v>201</v>
      </c>
      <c r="H1" s="8" t="s">
        <v>202</v>
      </c>
      <c r="I1" s="10" t="s">
        <v>203</v>
      </c>
      <c r="J1" s="8" t="s">
        <v>204</v>
      </c>
      <c r="K1" s="10" t="s">
        <v>205</v>
      </c>
      <c r="L1" s="15" t="s">
        <v>206</v>
      </c>
      <c r="M1" s="16" t="s">
        <v>207</v>
      </c>
      <c r="N1" s="17" t="s">
        <v>208</v>
      </c>
      <c r="O1" s="15" t="s">
        <v>302</v>
      </c>
      <c r="P1" s="16" t="s">
        <v>303</v>
      </c>
      <c r="Q1" s="17" t="s">
        <v>304</v>
      </c>
    </row>
    <row r="2" spans="1:17" ht="16.5" thickTop="1" thickBot="1" x14ac:dyDescent="0.3">
      <c r="A2" s="142" t="str">
        <f>myRGB(D2,E2,F2)</f>
        <v/>
      </c>
      <c r="B2" s="5" t="s">
        <v>17</v>
      </c>
      <c r="C2" s="6" t="s">
        <v>18</v>
      </c>
      <c r="D2" s="11">
        <v>0</v>
      </c>
      <c r="E2" s="12">
        <v>0</v>
      </c>
      <c r="F2" s="13">
        <v>0</v>
      </c>
      <c r="G2" s="7">
        <v>0</v>
      </c>
      <c r="H2" s="163">
        <v>0</v>
      </c>
      <c r="I2" s="164">
        <v>0</v>
      </c>
      <c r="J2" s="163">
        <v>0</v>
      </c>
      <c r="K2" s="164">
        <v>0</v>
      </c>
      <c r="L2" s="18">
        <f>G2/360*255</f>
        <v>0</v>
      </c>
      <c r="M2" s="19">
        <f>H2*255</f>
        <v>0</v>
      </c>
      <c r="N2" s="20">
        <f>I2*255</f>
        <v>0</v>
      </c>
      <c r="O2" s="169"/>
      <c r="P2" s="170"/>
      <c r="Q2" s="171"/>
    </row>
    <row r="3" spans="1:17" ht="16.5" thickTop="1" thickBot="1" x14ac:dyDescent="0.3">
      <c r="A3" s="147" t="str">
        <f>myRGB(D3,E3,F3)</f>
        <v/>
      </c>
      <c r="B3" s="5" t="s">
        <v>235</v>
      </c>
      <c r="C3" s="6" t="s">
        <v>57</v>
      </c>
      <c r="D3" s="11">
        <v>105</v>
      </c>
      <c r="E3" s="12">
        <v>105</v>
      </c>
      <c r="F3" s="13">
        <v>105</v>
      </c>
      <c r="G3" s="7">
        <v>0</v>
      </c>
      <c r="H3" s="163">
        <v>0</v>
      </c>
      <c r="I3" s="164">
        <v>0.41</v>
      </c>
      <c r="J3" s="163">
        <v>0</v>
      </c>
      <c r="K3" s="164">
        <v>0.41</v>
      </c>
      <c r="L3" s="18">
        <f>G3/360*255</f>
        <v>0</v>
      </c>
      <c r="M3" s="19">
        <f>H3*255</f>
        <v>0</v>
      </c>
      <c r="N3" s="20">
        <f>I3*255</f>
        <v>104.55</v>
      </c>
      <c r="O3" s="172" t="str">
        <f>myRGBLuminance(D3,E3,F3,235)</f>
        <v/>
      </c>
      <c r="P3" s="173" t="str">
        <f>myRGBLuminance(D3,E3,F3,180)</f>
        <v/>
      </c>
      <c r="Q3" s="174" t="str">
        <f>myRGBLuminance(D3,E3,F3,85)</f>
        <v/>
      </c>
    </row>
    <row r="4" spans="1:17" ht="16.5" thickTop="1" thickBot="1" x14ac:dyDescent="0.3">
      <c r="A4" s="62" t="str">
        <f>myRGB(D4,E4,F4)</f>
        <v/>
      </c>
      <c r="B4" s="166" t="s">
        <v>298</v>
      </c>
      <c r="C4" s="6" t="s">
        <v>75</v>
      </c>
      <c r="D4" s="11">
        <v>128</v>
      </c>
      <c r="E4" s="12">
        <v>128</v>
      </c>
      <c r="F4" s="13">
        <v>128</v>
      </c>
      <c r="G4" s="7">
        <v>0</v>
      </c>
      <c r="H4" s="163">
        <v>0</v>
      </c>
      <c r="I4" s="164">
        <v>0.5</v>
      </c>
      <c r="J4" s="163">
        <v>0</v>
      </c>
      <c r="K4" s="164">
        <v>0.5</v>
      </c>
      <c r="L4" s="18">
        <f>G4/360*255</f>
        <v>0</v>
      </c>
      <c r="M4" s="19">
        <f>H4*255</f>
        <v>0</v>
      </c>
      <c r="N4" s="20">
        <f>I4*255</f>
        <v>127.5</v>
      </c>
      <c r="O4" s="172" t="str">
        <f>myRGBLuminance(D4,E4,F4,235)</f>
        <v/>
      </c>
      <c r="P4" s="173" t="str">
        <f>myRGBLuminance(D4,E4,F4,180)</f>
        <v/>
      </c>
      <c r="Q4" s="174" t="str">
        <f>myRGBLuminance(D4,E4,F4,85)</f>
        <v/>
      </c>
    </row>
    <row r="5" spans="1:17" ht="16.5" thickTop="1" thickBot="1" x14ac:dyDescent="0.3">
      <c r="A5" s="145" t="str">
        <f>myRGB(D5,E5,F5)</f>
        <v/>
      </c>
      <c r="B5" s="5" t="s">
        <v>219</v>
      </c>
      <c r="C5" s="6" t="s">
        <v>41</v>
      </c>
      <c r="D5" s="11">
        <v>169</v>
      </c>
      <c r="E5" s="12">
        <v>169</v>
      </c>
      <c r="F5" s="13">
        <v>169</v>
      </c>
      <c r="G5" s="7">
        <v>0</v>
      </c>
      <c r="H5" s="163">
        <v>0</v>
      </c>
      <c r="I5" s="164">
        <v>0.66</v>
      </c>
      <c r="J5" s="163">
        <v>0</v>
      </c>
      <c r="K5" s="164">
        <v>0.66</v>
      </c>
      <c r="L5" s="18">
        <f>G5/360*255</f>
        <v>0</v>
      </c>
      <c r="M5" s="19">
        <f>H5*255</f>
        <v>0</v>
      </c>
      <c r="N5" s="20">
        <f>I5*255</f>
        <v>168.3</v>
      </c>
      <c r="O5" s="172" t="str">
        <f>myRGBLuminance(D5,E5,F5,235)</f>
        <v/>
      </c>
      <c r="P5" s="173" t="str">
        <f>myRGBLuminance(D5,E5,F5,180)</f>
        <v/>
      </c>
      <c r="Q5" s="174" t="str">
        <f>myRGBLuminance(D5,E5,F5,85)</f>
        <v/>
      </c>
    </row>
    <row r="6" spans="1:17" ht="16.5" thickTop="1" thickBot="1" x14ac:dyDescent="0.3">
      <c r="A6" s="45" t="str">
        <f>myRGB(D6,E6,F6)</f>
        <v/>
      </c>
      <c r="B6" s="5" t="s">
        <v>73</v>
      </c>
      <c r="C6" s="6" t="s">
        <v>74</v>
      </c>
      <c r="D6" s="11">
        <v>190</v>
      </c>
      <c r="E6" s="12">
        <v>190</v>
      </c>
      <c r="F6" s="13">
        <v>190</v>
      </c>
      <c r="G6" s="7">
        <v>0</v>
      </c>
      <c r="H6" s="163">
        <v>0</v>
      </c>
      <c r="I6" s="164">
        <v>0.75</v>
      </c>
      <c r="J6" s="163">
        <v>0</v>
      </c>
      <c r="K6" s="164">
        <v>0.75</v>
      </c>
      <c r="L6" s="18">
        <f>G6/360*255</f>
        <v>0</v>
      </c>
      <c r="M6" s="19">
        <f>H6*255</f>
        <v>0</v>
      </c>
      <c r="N6" s="20">
        <f>I6*255</f>
        <v>191.25</v>
      </c>
      <c r="O6" s="172" t="str">
        <f>myRGBLuminance(D6,E6,F6,235)</f>
        <v/>
      </c>
      <c r="P6" s="173" t="str">
        <f>myRGBLuminance(D6,E6,F6,180)</f>
        <v/>
      </c>
      <c r="Q6" s="174" t="str">
        <f>myRGBLuminance(D6,E6,F6,85)</f>
        <v/>
      </c>
    </row>
    <row r="7" spans="1:17" ht="16.5" thickTop="1" thickBot="1" x14ac:dyDescent="0.3">
      <c r="A7" s="83" t="str">
        <f>myRGB(D7,E7,F7)</f>
        <v/>
      </c>
      <c r="B7" s="5" t="s">
        <v>168</v>
      </c>
      <c r="C7" s="6" t="s">
        <v>169</v>
      </c>
      <c r="D7" s="11">
        <v>192</v>
      </c>
      <c r="E7" s="12">
        <v>192</v>
      </c>
      <c r="F7" s="13">
        <v>192</v>
      </c>
      <c r="G7" s="7">
        <v>0</v>
      </c>
      <c r="H7" s="163">
        <v>0</v>
      </c>
      <c r="I7" s="164">
        <v>0.75</v>
      </c>
      <c r="J7" s="163">
        <v>0</v>
      </c>
      <c r="K7" s="164">
        <v>0.75</v>
      </c>
      <c r="L7" s="18">
        <f>G7/360*255</f>
        <v>0</v>
      </c>
      <c r="M7" s="19">
        <f>H7*255</f>
        <v>0</v>
      </c>
      <c r="N7" s="20">
        <f>I7*255</f>
        <v>191.25</v>
      </c>
      <c r="O7" s="172" t="str">
        <f>myRGBLuminance(D7,E7,F7,235)</f>
        <v/>
      </c>
      <c r="P7" s="173" t="str">
        <f>myRGBLuminance(D7,E7,F7,180)</f>
        <v/>
      </c>
      <c r="Q7" s="174" t="str">
        <f>myRGBLuminance(D7,E7,F7,85)</f>
        <v/>
      </c>
    </row>
    <row r="8" spans="1:17" ht="16.5" thickTop="1" thickBot="1" x14ac:dyDescent="0.3">
      <c r="A8" s="131" t="str">
        <f>myRGB(D8,E8,F8)</f>
        <v/>
      </c>
      <c r="B8" s="5" t="s">
        <v>250</v>
      </c>
      <c r="C8" s="6" t="s">
        <v>98</v>
      </c>
      <c r="D8" s="11">
        <v>211</v>
      </c>
      <c r="E8" s="12">
        <v>211</v>
      </c>
      <c r="F8" s="13">
        <v>211</v>
      </c>
      <c r="G8" s="7">
        <v>0</v>
      </c>
      <c r="H8" s="163">
        <v>0</v>
      </c>
      <c r="I8" s="164">
        <v>0.83</v>
      </c>
      <c r="J8" s="163">
        <v>0</v>
      </c>
      <c r="K8" s="164">
        <v>0.83</v>
      </c>
      <c r="L8" s="18">
        <f>G8/360*255</f>
        <v>0</v>
      </c>
      <c r="M8" s="19">
        <f>H8*255</f>
        <v>0</v>
      </c>
      <c r="N8" s="20">
        <f>I8*255</f>
        <v>211.64999999999998</v>
      </c>
      <c r="O8" s="172" t="str">
        <f>myRGBLuminance(D8,E8,F8,235)</f>
        <v/>
      </c>
      <c r="P8" s="173" t="str">
        <f>myRGBLuminance(D8,E8,F8,180)</f>
        <v/>
      </c>
      <c r="Q8" s="174" t="str">
        <f>myRGBLuminance(D8,E8,F8,85)</f>
        <v/>
      </c>
    </row>
    <row r="9" spans="1:17" ht="16.5" thickTop="1" thickBot="1" x14ac:dyDescent="0.3">
      <c r="A9" s="135" t="str">
        <f>myRGB(D9,E9,F9)</f>
        <v/>
      </c>
      <c r="B9" s="5" t="s">
        <v>66</v>
      </c>
      <c r="C9" s="6" t="s">
        <v>67</v>
      </c>
      <c r="D9" s="11">
        <v>220</v>
      </c>
      <c r="E9" s="12">
        <v>220</v>
      </c>
      <c r="F9" s="13">
        <v>220</v>
      </c>
      <c r="G9" s="7">
        <v>0</v>
      </c>
      <c r="H9" s="163">
        <v>0</v>
      </c>
      <c r="I9" s="164">
        <v>0.86</v>
      </c>
      <c r="J9" s="163">
        <v>0</v>
      </c>
      <c r="K9" s="164">
        <v>0.86</v>
      </c>
      <c r="L9" s="18">
        <f>G9/360*255</f>
        <v>0</v>
      </c>
      <c r="M9" s="19">
        <f>H9*255</f>
        <v>0</v>
      </c>
      <c r="N9" s="20">
        <f>I9*255</f>
        <v>219.29999999999998</v>
      </c>
      <c r="O9" s="172" t="str">
        <f>myRGBLuminance(D9,E9,F9,235)</f>
        <v/>
      </c>
      <c r="P9" s="173" t="str">
        <f>myRGBLuminance(D9,E9,F9,180)</f>
        <v/>
      </c>
      <c r="Q9" s="174" t="str">
        <f>myRGBLuminance(D9,E9,F9,85)</f>
        <v/>
      </c>
    </row>
    <row r="10" spans="1:17" ht="16.5" thickTop="1" thickBot="1" x14ac:dyDescent="0.3">
      <c r="A10" s="100" t="str">
        <f>myRGB(D10,E10,F10)</f>
        <v/>
      </c>
      <c r="B10" s="5" t="s">
        <v>294</v>
      </c>
      <c r="C10" s="6" t="s">
        <v>193</v>
      </c>
      <c r="D10" s="11">
        <v>245</v>
      </c>
      <c r="E10" s="12">
        <v>245</v>
      </c>
      <c r="F10" s="13">
        <v>245</v>
      </c>
      <c r="G10" s="7">
        <v>0</v>
      </c>
      <c r="H10" s="163">
        <v>0</v>
      </c>
      <c r="I10" s="164">
        <v>0.96</v>
      </c>
      <c r="J10" s="163">
        <v>0</v>
      </c>
      <c r="K10" s="164">
        <v>0.96</v>
      </c>
      <c r="L10" s="18">
        <f>G10/360*255</f>
        <v>0</v>
      </c>
      <c r="M10" s="19">
        <f>H10*255</f>
        <v>0</v>
      </c>
      <c r="N10" s="20">
        <f>I10*255</f>
        <v>244.79999999999998</v>
      </c>
      <c r="O10" s="172" t="str">
        <f>myRGBLuminance(D10,E10,F10,235)</f>
        <v/>
      </c>
      <c r="P10" s="173" t="str">
        <f>myRGBLuminance(D10,E10,F10,180)</f>
        <v/>
      </c>
      <c r="Q10" s="174" t="str">
        <f>myRGBLuminance(D10,E10,F10,85)</f>
        <v/>
      </c>
    </row>
    <row r="11" spans="1:17" ht="16.5" thickTop="1" thickBot="1" x14ac:dyDescent="0.3">
      <c r="A11" s="167"/>
      <c r="B11" s="5" t="s">
        <v>293</v>
      </c>
      <c r="C11" s="6" t="s">
        <v>192</v>
      </c>
      <c r="D11" s="11">
        <v>255</v>
      </c>
      <c r="E11" s="12">
        <v>255</v>
      </c>
      <c r="F11" s="13">
        <v>255</v>
      </c>
      <c r="G11" s="7">
        <v>0</v>
      </c>
      <c r="H11" s="163">
        <v>0</v>
      </c>
      <c r="I11" s="164">
        <v>1</v>
      </c>
      <c r="J11" s="163">
        <v>0</v>
      </c>
      <c r="K11" s="164">
        <v>1</v>
      </c>
      <c r="L11" s="18">
        <f>G11/360*255</f>
        <v>0</v>
      </c>
      <c r="M11" s="19">
        <f>H11*255</f>
        <v>0</v>
      </c>
      <c r="N11" s="20">
        <f>I11*255</f>
        <v>255</v>
      </c>
      <c r="O11" s="175"/>
      <c r="P11" s="176"/>
      <c r="Q11" s="177"/>
    </row>
    <row r="12" spans="1:17" ht="16.5" thickTop="1" thickBot="1" x14ac:dyDescent="0.3">
      <c r="A12" s="96" t="str">
        <f>myRGB(D12,E12,F12)</f>
        <v/>
      </c>
      <c r="B12" s="5" t="s">
        <v>191</v>
      </c>
      <c r="C12" s="6" t="s">
        <v>192</v>
      </c>
      <c r="D12" s="11">
        <v>255</v>
      </c>
      <c r="E12" s="12">
        <v>255</v>
      </c>
      <c r="F12" s="13">
        <v>255</v>
      </c>
      <c r="G12" s="7">
        <v>0</v>
      </c>
      <c r="H12" s="163">
        <v>0</v>
      </c>
      <c r="I12" s="164">
        <v>1</v>
      </c>
      <c r="J12" s="163">
        <v>0</v>
      </c>
      <c r="K12" s="164">
        <v>1</v>
      </c>
      <c r="L12" s="18">
        <f>G12/360*255</f>
        <v>0</v>
      </c>
      <c r="M12" s="19">
        <f>H12*255</f>
        <v>0</v>
      </c>
      <c r="N12" s="20">
        <f>I12*255</f>
        <v>255</v>
      </c>
      <c r="O12" s="169"/>
      <c r="P12" s="170"/>
      <c r="Q12" s="171"/>
    </row>
    <row r="13" spans="1:17" ht="16.5" thickTop="1" thickBot="1" x14ac:dyDescent="0.3">
      <c r="A13" s="140" t="str">
        <f>myRGB(D13,E13,F13)</f>
        <v/>
      </c>
      <c r="B13" s="5" t="s">
        <v>283</v>
      </c>
      <c r="C13" s="6" t="s">
        <v>157</v>
      </c>
      <c r="D13" s="11">
        <v>188</v>
      </c>
      <c r="E13" s="12">
        <v>143</v>
      </c>
      <c r="F13" s="13">
        <v>143</v>
      </c>
      <c r="G13" s="7">
        <v>0</v>
      </c>
      <c r="H13" s="163">
        <v>0.25</v>
      </c>
      <c r="I13" s="164">
        <v>0.65</v>
      </c>
      <c r="J13" s="163">
        <v>0.24</v>
      </c>
      <c r="K13" s="164">
        <v>0.74</v>
      </c>
      <c r="L13" s="18">
        <f>G13/360*255</f>
        <v>0</v>
      </c>
      <c r="M13" s="19">
        <f>H13*255</f>
        <v>63.75</v>
      </c>
      <c r="N13" s="20">
        <f>I13*255</f>
        <v>165.75</v>
      </c>
      <c r="O13" s="178" t="str">
        <f>myRGBLuminance(D13,E13,F13,235)</f>
        <v/>
      </c>
      <c r="P13" s="179" t="str">
        <f>myRGBLuminance(D13,E13,F13,180)</f>
        <v/>
      </c>
      <c r="Q13" s="180" t="str">
        <f>myRGBLuminance(D13,E13,F13,85)</f>
        <v/>
      </c>
    </row>
    <row r="14" spans="1:17" ht="16.5" thickTop="1" thickBot="1" x14ac:dyDescent="0.3">
      <c r="A14" s="29" t="str">
        <f>myRGB(D14,E14,F14)</f>
        <v/>
      </c>
      <c r="B14" s="5" t="s">
        <v>242</v>
      </c>
      <c r="C14" s="6" t="s">
        <v>82</v>
      </c>
      <c r="D14" s="11">
        <v>205</v>
      </c>
      <c r="E14" s="12">
        <v>92</v>
      </c>
      <c r="F14" s="13">
        <v>92</v>
      </c>
      <c r="G14" s="7">
        <v>0</v>
      </c>
      <c r="H14" s="163">
        <v>0.53</v>
      </c>
      <c r="I14" s="164">
        <v>0.57999999999999996</v>
      </c>
      <c r="J14" s="163">
        <v>0.55000000000000004</v>
      </c>
      <c r="K14" s="164">
        <v>0.8</v>
      </c>
      <c r="L14" s="18">
        <f>G14/360*255</f>
        <v>0</v>
      </c>
      <c r="M14" s="19">
        <f>H14*255</f>
        <v>135.15</v>
      </c>
      <c r="N14" s="20">
        <f>I14*255</f>
        <v>147.89999999999998</v>
      </c>
      <c r="O14" s="181" t="str">
        <f>myRGBLuminance(D14,E14,F14,235)</f>
        <v/>
      </c>
      <c r="P14" s="182" t="str">
        <f>myRGBLuminance(D14,E14,F14,180)</f>
        <v/>
      </c>
      <c r="Q14" s="183" t="str">
        <f>myRGBLuminance(D14,E14,F14,85)</f>
        <v/>
      </c>
    </row>
    <row r="15" spans="1:17" ht="16.5" thickTop="1" thickBot="1" x14ac:dyDescent="0.3">
      <c r="A15" s="57" t="str">
        <f>myRGB(D15,E15,F15)</f>
        <v/>
      </c>
      <c r="B15" s="5" t="s">
        <v>22</v>
      </c>
      <c r="C15" s="6" t="s">
        <v>23</v>
      </c>
      <c r="D15" s="11">
        <v>165</v>
      </c>
      <c r="E15" s="12">
        <v>42</v>
      </c>
      <c r="F15" s="13">
        <v>42</v>
      </c>
      <c r="G15" s="7">
        <v>0</v>
      </c>
      <c r="H15" s="163">
        <v>0.59</v>
      </c>
      <c r="I15" s="164">
        <v>0.41</v>
      </c>
      <c r="J15" s="163">
        <v>0.75</v>
      </c>
      <c r="K15" s="164">
        <v>0.65</v>
      </c>
      <c r="L15" s="18">
        <f>G15/360*255</f>
        <v>0</v>
      </c>
      <c r="M15" s="19">
        <f>H15*255</f>
        <v>150.44999999999999</v>
      </c>
      <c r="N15" s="20">
        <f>I15*255</f>
        <v>104.55</v>
      </c>
      <c r="O15" s="184" t="str">
        <f>myRGBLuminance(D15,E15,F15,235)</f>
        <v/>
      </c>
      <c r="P15" s="185" t="str">
        <f>myRGBLuminance(D15,E15,F15,180)</f>
        <v/>
      </c>
      <c r="Q15" s="186" t="str">
        <f>myRGBLuminance(D15,E15,F15,85)</f>
        <v/>
      </c>
    </row>
    <row r="16" spans="1:17" ht="16.5" thickTop="1" thickBot="1" x14ac:dyDescent="0.3">
      <c r="A16" s="44" t="str">
        <f>myRGB(D16,E16,F16)</f>
        <v/>
      </c>
      <c r="B16" s="5" t="s">
        <v>59</v>
      </c>
      <c r="C16" s="6" t="s">
        <v>60</v>
      </c>
      <c r="D16" s="11">
        <v>178</v>
      </c>
      <c r="E16" s="12">
        <v>34</v>
      </c>
      <c r="F16" s="13">
        <v>34</v>
      </c>
      <c r="G16" s="7">
        <v>0</v>
      </c>
      <c r="H16" s="163">
        <v>0.68</v>
      </c>
      <c r="I16" s="164">
        <v>0.42</v>
      </c>
      <c r="J16" s="163">
        <v>0.81</v>
      </c>
      <c r="K16" s="164">
        <v>0.7</v>
      </c>
      <c r="L16" s="18">
        <f>G16/360*255</f>
        <v>0</v>
      </c>
      <c r="M16" s="19">
        <f>H16*255</f>
        <v>173.4</v>
      </c>
      <c r="N16" s="20">
        <f>I16*255</f>
        <v>107.1</v>
      </c>
      <c r="O16" s="187" t="str">
        <f>myRGBLuminance(D16,E16,F16,235)</f>
        <v/>
      </c>
      <c r="P16" s="188" t="str">
        <f>myRGBLuminance(D16,E16,F16,180)</f>
        <v/>
      </c>
      <c r="Q16" s="189" t="str">
        <f>myRGBLuminance(D16,E16,F16,85)</f>
        <v/>
      </c>
    </row>
    <row r="17" spans="1:17" ht="16.5" thickTop="1" thickBot="1" x14ac:dyDescent="0.3">
      <c r="A17" s="47" t="str">
        <f>myRGB(D17,E17,F17)</f>
        <v/>
      </c>
      <c r="B17" s="5" t="s">
        <v>247</v>
      </c>
      <c r="C17" s="6" t="s">
        <v>95</v>
      </c>
      <c r="D17" s="11">
        <v>240</v>
      </c>
      <c r="E17" s="12">
        <v>128</v>
      </c>
      <c r="F17" s="13">
        <v>128</v>
      </c>
      <c r="G17" s="7">
        <v>0</v>
      </c>
      <c r="H17" s="163">
        <v>0.79</v>
      </c>
      <c r="I17" s="164">
        <v>0.72</v>
      </c>
      <c r="J17" s="163">
        <v>0.47</v>
      </c>
      <c r="K17" s="164">
        <v>0.94</v>
      </c>
      <c r="L17" s="18">
        <f>G17/360*255</f>
        <v>0</v>
      </c>
      <c r="M17" s="19">
        <f>H17*255</f>
        <v>201.45000000000002</v>
      </c>
      <c r="N17" s="20">
        <f>I17*255</f>
        <v>183.6</v>
      </c>
      <c r="O17" s="190" t="str">
        <f>myRGBLuminance(D17,E17,F17,235)</f>
        <v/>
      </c>
      <c r="P17" s="191" t="str">
        <f>myRGBLuminance(D17,E17,F17,180)</f>
        <v/>
      </c>
      <c r="Q17" s="192" t="str">
        <f>myRGBLuminance(D17,E17,F17,85)</f>
        <v/>
      </c>
    </row>
    <row r="18" spans="1:17" ht="16.5" thickTop="1" thickBot="1" x14ac:dyDescent="0.3">
      <c r="A18" s="66" t="str">
        <f>myRGB(D18,E18,F18)</f>
        <v/>
      </c>
      <c r="B18" s="166" t="s">
        <v>300</v>
      </c>
      <c r="C18" s="6" t="s">
        <v>113</v>
      </c>
      <c r="D18" s="11">
        <v>128</v>
      </c>
      <c r="E18" s="12">
        <v>0</v>
      </c>
      <c r="F18" s="13">
        <v>0</v>
      </c>
      <c r="G18" s="7">
        <v>0</v>
      </c>
      <c r="H18" s="163">
        <v>1</v>
      </c>
      <c r="I18" s="164">
        <v>0.25</v>
      </c>
      <c r="J18" s="163">
        <v>1</v>
      </c>
      <c r="K18" s="164">
        <v>0.5</v>
      </c>
      <c r="L18" s="18">
        <f>G18/360*255</f>
        <v>0</v>
      </c>
      <c r="M18" s="19">
        <f>H18*255</f>
        <v>255</v>
      </c>
      <c r="N18" s="20">
        <f>I18*255</f>
        <v>63.75</v>
      </c>
      <c r="O18" s="193" t="str">
        <f>myRGBLuminance(D18,E18,F18,235)</f>
        <v/>
      </c>
      <c r="P18" s="194" t="str">
        <f>myRGBLuminance(D18,E18,F18,180)</f>
        <v/>
      </c>
      <c r="Q18" s="195" t="str">
        <f>myRGBLuminance(D18,E18,F18,85)</f>
        <v/>
      </c>
    </row>
    <row r="19" spans="1:17" ht="16.5" thickTop="1" thickBot="1" x14ac:dyDescent="0.3">
      <c r="A19" s="138" t="str">
        <f>myRGB(D19,E19,F19)</f>
        <v/>
      </c>
      <c r="B19" s="5" t="s">
        <v>226</v>
      </c>
      <c r="C19" s="6" t="s">
        <v>48</v>
      </c>
      <c r="D19" s="11">
        <v>139</v>
      </c>
      <c r="E19" s="12">
        <v>0</v>
      </c>
      <c r="F19" s="13">
        <v>0</v>
      </c>
      <c r="G19" s="7">
        <v>0</v>
      </c>
      <c r="H19" s="163">
        <v>1</v>
      </c>
      <c r="I19" s="164">
        <v>0.27</v>
      </c>
      <c r="J19" s="163">
        <v>1</v>
      </c>
      <c r="K19" s="164">
        <v>0.55000000000000004</v>
      </c>
      <c r="L19" s="18">
        <f>G19/360*255</f>
        <v>0</v>
      </c>
      <c r="M19" s="19">
        <f>H19*255</f>
        <v>255</v>
      </c>
      <c r="N19" s="20">
        <f>I19*255</f>
        <v>68.850000000000009</v>
      </c>
      <c r="O19" s="193" t="str">
        <f>myRGBLuminance(D19,E19,F19,235)</f>
        <v/>
      </c>
      <c r="P19" s="194" t="str">
        <f>myRGBLuminance(D19,E19,F19,180)</f>
        <v/>
      </c>
      <c r="Q19" s="195" t="str">
        <f>myRGBLuminance(D19,E19,F19,85)</f>
        <v/>
      </c>
    </row>
    <row r="20" spans="1:17" ht="16.5" thickTop="1" thickBot="1" x14ac:dyDescent="0.3">
      <c r="A20" s="123" t="str">
        <f>myRGB(D20,E20,F20)</f>
        <v/>
      </c>
      <c r="B20" s="5" t="s">
        <v>1</v>
      </c>
      <c r="C20" s="6" t="s">
        <v>156</v>
      </c>
      <c r="D20" s="11">
        <v>255</v>
      </c>
      <c r="E20" s="12">
        <v>0</v>
      </c>
      <c r="F20" s="13">
        <v>0</v>
      </c>
      <c r="G20" s="7">
        <v>0</v>
      </c>
      <c r="H20" s="163">
        <v>1</v>
      </c>
      <c r="I20" s="164">
        <v>0.5</v>
      </c>
      <c r="J20" s="163">
        <v>1</v>
      </c>
      <c r="K20" s="164">
        <v>1</v>
      </c>
      <c r="L20" s="18">
        <f>G20/360*255</f>
        <v>0</v>
      </c>
      <c r="M20" s="19">
        <f>H20*255</f>
        <v>255</v>
      </c>
      <c r="N20" s="20">
        <f>I20*255</f>
        <v>127.5</v>
      </c>
      <c r="O20" s="193" t="str">
        <f>myRGBLuminance(D20,E20,F20,235)</f>
        <v/>
      </c>
      <c r="P20" s="194" t="str">
        <f>myRGBLuminance(D20,E20,F20,180)</f>
        <v/>
      </c>
      <c r="Q20" s="195" t="str">
        <f>myRGBLuminance(D20,E20,F20,85)</f>
        <v/>
      </c>
    </row>
    <row r="21" spans="1:17" ht="16.5" thickTop="1" thickBot="1" x14ac:dyDescent="0.3">
      <c r="A21" s="72" t="str">
        <f>myRGB(D21,E21,F21)</f>
        <v/>
      </c>
      <c r="B21" s="5" t="s">
        <v>173</v>
      </c>
      <c r="C21" s="6" t="s">
        <v>174</v>
      </c>
      <c r="D21" s="11">
        <v>255</v>
      </c>
      <c r="E21" s="12">
        <v>250</v>
      </c>
      <c r="F21" s="13">
        <v>250</v>
      </c>
      <c r="G21" s="7">
        <v>0</v>
      </c>
      <c r="H21" s="163">
        <v>1</v>
      </c>
      <c r="I21" s="164">
        <v>0.99</v>
      </c>
      <c r="J21" s="163">
        <v>0.02</v>
      </c>
      <c r="K21" s="164">
        <v>1</v>
      </c>
      <c r="L21" s="18">
        <f>G21/360*255</f>
        <v>0</v>
      </c>
      <c r="M21" s="19">
        <f>H21*255</f>
        <v>255</v>
      </c>
      <c r="N21" s="20">
        <f>I21*255</f>
        <v>252.45</v>
      </c>
      <c r="O21" s="193" t="str">
        <f>myRGBLuminance(D21,E21,F21,235)</f>
        <v/>
      </c>
      <c r="P21" s="194" t="str">
        <f>myRGBLuminance(D21,E21,F21,180)</f>
        <v/>
      </c>
      <c r="Q21" s="195" t="str">
        <f>myRGBLuminance(D21,E21,F21,85)</f>
        <v/>
      </c>
    </row>
    <row r="22" spans="1:17" ht="16.5" thickTop="1" thickBot="1" x14ac:dyDescent="0.3">
      <c r="A22" s="54" t="str">
        <f>myRGB(D22,E22,F22)</f>
        <v/>
      </c>
      <c r="B22" s="5" t="s">
        <v>160</v>
      </c>
      <c r="C22" s="6" t="s">
        <v>161</v>
      </c>
      <c r="D22" s="11">
        <v>250</v>
      </c>
      <c r="E22" s="12">
        <v>128</v>
      </c>
      <c r="F22" s="13">
        <v>114</v>
      </c>
      <c r="G22" s="7">
        <v>6</v>
      </c>
      <c r="H22" s="163">
        <v>0.93</v>
      </c>
      <c r="I22" s="164">
        <v>0.71</v>
      </c>
      <c r="J22" s="163">
        <v>0.54</v>
      </c>
      <c r="K22" s="164">
        <v>0.98</v>
      </c>
      <c r="L22" s="18">
        <f>G22/360*255</f>
        <v>4.25</v>
      </c>
      <c r="M22" s="19">
        <f>H22*255</f>
        <v>237.15</v>
      </c>
      <c r="N22" s="20">
        <f>I22*255</f>
        <v>181.04999999999998</v>
      </c>
      <c r="O22" s="196" t="str">
        <f>myRGBLuminance(D22,E22,F22,235)</f>
        <v/>
      </c>
      <c r="P22" s="197" t="str">
        <f>myRGBLuminance(D22,E22,F22,180)</f>
        <v/>
      </c>
      <c r="Q22" s="198" t="str">
        <f>myRGBLuminance(D22,E22,F22,85)</f>
        <v/>
      </c>
    </row>
    <row r="23" spans="1:17" ht="16.5" thickTop="1" thickBot="1" x14ac:dyDescent="0.3">
      <c r="A23" s="92" t="str">
        <f>myRGB(D23,E23,F23)</f>
        <v/>
      </c>
      <c r="B23" s="5" t="s">
        <v>271</v>
      </c>
      <c r="C23" s="6" t="s">
        <v>125</v>
      </c>
      <c r="D23" s="11">
        <v>255</v>
      </c>
      <c r="E23" s="12">
        <v>228</v>
      </c>
      <c r="F23" s="13">
        <v>225</v>
      </c>
      <c r="G23" s="7">
        <v>6</v>
      </c>
      <c r="H23" s="163">
        <v>1</v>
      </c>
      <c r="I23" s="164">
        <v>0.94</v>
      </c>
      <c r="J23" s="163">
        <v>0.12</v>
      </c>
      <c r="K23" s="164">
        <v>1</v>
      </c>
      <c r="L23" s="18">
        <f>G23/360*255</f>
        <v>4.25</v>
      </c>
      <c r="M23" s="19">
        <f>H23*255</f>
        <v>255</v>
      </c>
      <c r="N23" s="20">
        <f>I23*255</f>
        <v>239.7</v>
      </c>
      <c r="O23" s="199" t="str">
        <f>myRGBLuminance(D23,E23,F23,235)</f>
        <v/>
      </c>
      <c r="P23" s="200" t="str">
        <f>myRGBLuminance(D23,E23,F23,180)</f>
        <v/>
      </c>
      <c r="Q23" s="201" t="str">
        <f>myRGBLuminance(D23,E23,F23,85)</f>
        <v/>
      </c>
    </row>
    <row r="24" spans="1:17" ht="16.5" thickTop="1" thickBot="1" x14ac:dyDescent="0.3">
      <c r="A24" s="39" t="str">
        <f>myRGB(D24,E24,F24)</f>
        <v/>
      </c>
      <c r="B24" s="5" t="s">
        <v>183</v>
      </c>
      <c r="C24" s="6" t="s">
        <v>184</v>
      </c>
      <c r="D24" s="11">
        <v>255</v>
      </c>
      <c r="E24" s="12">
        <v>99</v>
      </c>
      <c r="F24" s="13">
        <v>71</v>
      </c>
      <c r="G24" s="7">
        <v>9</v>
      </c>
      <c r="H24" s="163">
        <v>1</v>
      </c>
      <c r="I24" s="164">
        <v>0.64</v>
      </c>
      <c r="J24" s="163">
        <v>0.72</v>
      </c>
      <c r="K24" s="164">
        <v>1</v>
      </c>
      <c r="L24" s="18">
        <f>G24/360*255</f>
        <v>6.375</v>
      </c>
      <c r="M24" s="19">
        <f>H24*255</f>
        <v>255</v>
      </c>
      <c r="N24" s="20">
        <f>I24*255</f>
        <v>163.20000000000002</v>
      </c>
      <c r="O24" s="202" t="str">
        <f>myRGBLuminance(D24,E24,F24,235)</f>
        <v/>
      </c>
      <c r="P24" s="203" t="str">
        <f>myRGBLuminance(D24,E24,F24,180)</f>
        <v/>
      </c>
      <c r="Q24" s="204" t="str">
        <f>myRGBLuminance(D24,E24,F24,85)</f>
        <v/>
      </c>
    </row>
    <row r="25" spans="1:17" ht="16.5" thickTop="1" thickBot="1" x14ac:dyDescent="0.3">
      <c r="A25" s="146" t="str">
        <f>myRGB(D25,E25,F25)</f>
        <v/>
      </c>
      <c r="B25" s="5" t="s">
        <v>227</v>
      </c>
      <c r="C25" s="6" t="s">
        <v>49</v>
      </c>
      <c r="D25" s="11">
        <v>233</v>
      </c>
      <c r="E25" s="12">
        <v>150</v>
      </c>
      <c r="F25" s="13">
        <v>122</v>
      </c>
      <c r="G25" s="7">
        <v>15</v>
      </c>
      <c r="H25" s="163">
        <v>0.72</v>
      </c>
      <c r="I25" s="164">
        <v>0.7</v>
      </c>
      <c r="J25" s="163">
        <v>0.48</v>
      </c>
      <c r="K25" s="164">
        <v>0.91</v>
      </c>
      <c r="L25" s="18">
        <f>G25/360*255</f>
        <v>10.625</v>
      </c>
      <c r="M25" s="19">
        <f>H25*255</f>
        <v>183.6</v>
      </c>
      <c r="N25" s="20">
        <f>I25*255</f>
        <v>178.5</v>
      </c>
      <c r="O25" s="205" t="str">
        <f>myRGBLuminance(D25,E25,F25,235)</f>
        <v/>
      </c>
      <c r="P25" s="206" t="str">
        <f>myRGBLuminance(D25,E25,F25,180)</f>
        <v/>
      </c>
      <c r="Q25" s="207" t="str">
        <f>myRGBLuminance(D25,E25,F25,85)</f>
        <v/>
      </c>
    </row>
    <row r="26" spans="1:17" ht="16.5" thickTop="1" thickBot="1" x14ac:dyDescent="0.3">
      <c r="A26" s="126" t="str">
        <f>myRGB(D26,E26,F26)</f>
        <v/>
      </c>
      <c r="B26" s="5" t="s">
        <v>275</v>
      </c>
      <c r="C26" s="6" t="s">
        <v>136</v>
      </c>
      <c r="D26" s="11">
        <v>255</v>
      </c>
      <c r="E26" s="12">
        <v>69</v>
      </c>
      <c r="F26" s="13">
        <v>0</v>
      </c>
      <c r="G26" s="7">
        <v>16</v>
      </c>
      <c r="H26" s="163">
        <v>1</v>
      </c>
      <c r="I26" s="164">
        <v>0.5</v>
      </c>
      <c r="J26" s="163">
        <v>1</v>
      </c>
      <c r="K26" s="164">
        <v>1</v>
      </c>
      <c r="L26" s="18">
        <f>G26/360*255</f>
        <v>11.333333333333334</v>
      </c>
      <c r="M26" s="19">
        <f>H26*255</f>
        <v>255</v>
      </c>
      <c r="N26" s="20">
        <f>I26*255</f>
        <v>127.5</v>
      </c>
      <c r="O26" s="208" t="str">
        <f>myRGBLuminance(D26,E26,F26,235)</f>
        <v/>
      </c>
      <c r="P26" s="209" t="str">
        <f>myRGBLuminance(D26,E26,F26,180)</f>
        <v/>
      </c>
      <c r="Q26" s="210" t="str">
        <f>myRGBLuminance(D26,E26,F26,85)</f>
        <v/>
      </c>
    </row>
    <row r="27" spans="1:17" ht="16.5" thickTop="1" thickBot="1" x14ac:dyDescent="0.3">
      <c r="A27" s="144" t="str">
        <f>myRGB(D27,E27,F27)</f>
        <v/>
      </c>
      <c r="B27" s="5" t="s">
        <v>31</v>
      </c>
      <c r="C27" s="6" t="s">
        <v>32</v>
      </c>
      <c r="D27" s="11">
        <v>255</v>
      </c>
      <c r="E27" s="12">
        <v>127</v>
      </c>
      <c r="F27" s="13">
        <v>80</v>
      </c>
      <c r="G27" s="7">
        <v>16</v>
      </c>
      <c r="H27" s="163">
        <v>1</v>
      </c>
      <c r="I27" s="164">
        <v>0.66</v>
      </c>
      <c r="J27" s="163">
        <v>0.69</v>
      </c>
      <c r="K27" s="164">
        <v>1</v>
      </c>
      <c r="L27" s="18">
        <f>G27/360*255</f>
        <v>11.333333333333334</v>
      </c>
      <c r="M27" s="19">
        <f>H27*255</f>
        <v>255</v>
      </c>
      <c r="N27" s="20">
        <f>I27*255</f>
        <v>168.3</v>
      </c>
      <c r="O27" s="208" t="str">
        <f>myRGBLuminance(D27,E27,F27,235)</f>
        <v/>
      </c>
      <c r="P27" s="211" t="str">
        <f>myRGBLuminance(D27,E27,F27,180)</f>
        <v/>
      </c>
      <c r="Q27" s="210" t="str">
        <f>myRGBLuminance(D27,E27,F27,85)</f>
        <v/>
      </c>
    </row>
    <row r="28" spans="1:17" ht="16.5" thickTop="1" thickBot="1" x14ac:dyDescent="0.3">
      <c r="A28" s="151" t="str">
        <f>myRGB(D28,E28,F28)</f>
        <v/>
      </c>
      <c r="B28" s="5" t="s">
        <v>253</v>
      </c>
      <c r="C28" s="6" t="s">
        <v>101</v>
      </c>
      <c r="D28" s="11">
        <v>255</v>
      </c>
      <c r="E28" s="12">
        <v>160</v>
      </c>
      <c r="F28" s="13">
        <v>122</v>
      </c>
      <c r="G28" s="7">
        <v>17</v>
      </c>
      <c r="H28" s="163">
        <v>1</v>
      </c>
      <c r="I28" s="164">
        <v>0.74</v>
      </c>
      <c r="J28" s="163">
        <v>0.52</v>
      </c>
      <c r="K28" s="164">
        <v>1</v>
      </c>
      <c r="L28" s="18">
        <f>G28/360*255</f>
        <v>12.041666666666666</v>
      </c>
      <c r="M28" s="19">
        <f>H28*255</f>
        <v>255</v>
      </c>
      <c r="N28" s="20">
        <f>I28*255</f>
        <v>188.7</v>
      </c>
      <c r="O28" s="208" t="str">
        <f>myRGBLuminance(D28,E28,F28,235)</f>
        <v/>
      </c>
      <c r="P28" s="212" t="str">
        <f>myRGBLuminance(D28,E28,F28,180)</f>
        <v/>
      </c>
      <c r="Q28" s="213" t="str">
        <f>myRGBLuminance(D28,E28,F28,85)</f>
        <v/>
      </c>
    </row>
    <row r="29" spans="1:17" ht="16.5" thickTop="1" thickBot="1" x14ac:dyDescent="0.3">
      <c r="A29" s="137" t="str">
        <f>myRGB(D29,E29,F29)</f>
        <v/>
      </c>
      <c r="B29" s="5" t="s">
        <v>166</v>
      </c>
      <c r="C29" s="6" t="s">
        <v>167</v>
      </c>
      <c r="D29" s="11">
        <v>160</v>
      </c>
      <c r="E29" s="12">
        <v>82</v>
      </c>
      <c r="F29" s="13">
        <v>45</v>
      </c>
      <c r="G29" s="7">
        <v>19</v>
      </c>
      <c r="H29" s="163">
        <v>0.56000000000000005</v>
      </c>
      <c r="I29" s="164">
        <v>0.4</v>
      </c>
      <c r="J29" s="163">
        <v>0.72</v>
      </c>
      <c r="K29" s="164">
        <v>0.63</v>
      </c>
      <c r="L29" s="18">
        <f>G29/360*255</f>
        <v>13.458333333333334</v>
      </c>
      <c r="M29" s="19">
        <f>H29*255</f>
        <v>142.80000000000001</v>
      </c>
      <c r="N29" s="20">
        <f>I29*255</f>
        <v>102</v>
      </c>
      <c r="O29" s="214" t="str">
        <f>myRGBLuminance(D29,E29,F29,235)</f>
        <v/>
      </c>
      <c r="P29" s="215" t="str">
        <f>myRGBLuminance(D29,E29,F29,180)</f>
        <v/>
      </c>
      <c r="Q29" s="216" t="str">
        <f>myRGBLuminance(D29,E29,F29,85)</f>
        <v/>
      </c>
    </row>
    <row r="30" spans="1:17" ht="16.5" thickTop="1" thickBot="1" x14ac:dyDescent="0.3">
      <c r="A30" s="161" t="str">
        <f>myRGB(D30,E30,F30)</f>
        <v/>
      </c>
      <c r="B30" s="5" t="s">
        <v>29</v>
      </c>
      <c r="C30" s="6" t="s">
        <v>30</v>
      </c>
      <c r="D30" s="11">
        <v>210</v>
      </c>
      <c r="E30" s="12">
        <v>105</v>
      </c>
      <c r="F30" s="13">
        <v>30</v>
      </c>
      <c r="G30" s="7">
        <v>25</v>
      </c>
      <c r="H30" s="163">
        <v>0.75</v>
      </c>
      <c r="I30" s="164">
        <v>0.47</v>
      </c>
      <c r="J30" s="163">
        <v>0.86</v>
      </c>
      <c r="K30" s="164">
        <v>0.82</v>
      </c>
      <c r="L30" s="18">
        <f>G30/360*255</f>
        <v>17.708333333333336</v>
      </c>
      <c r="M30" s="19">
        <f>H30*255</f>
        <v>191.25</v>
      </c>
      <c r="N30" s="20">
        <f>I30*255</f>
        <v>119.85</v>
      </c>
      <c r="O30" s="217" t="str">
        <f>myRGBLuminance(D30,E30,F30,235)</f>
        <v/>
      </c>
      <c r="P30" s="218" t="str">
        <f>myRGBLuminance(D30,E30,F30,180)</f>
        <v/>
      </c>
      <c r="Q30" s="219" t="str">
        <f>myRGBLuminance(D30,E30,F30,85)</f>
        <v/>
      </c>
    </row>
    <row r="31" spans="1:17" ht="16.5" thickTop="1" thickBot="1" x14ac:dyDescent="0.3">
      <c r="A31" s="37" t="str">
        <f>myRGB(D31,E31,F31)</f>
        <v/>
      </c>
      <c r="B31" s="165" t="s">
        <v>285</v>
      </c>
      <c r="C31" s="6" t="s">
        <v>159</v>
      </c>
      <c r="D31" s="11">
        <v>139</v>
      </c>
      <c r="E31" s="12">
        <v>69</v>
      </c>
      <c r="F31" s="13">
        <v>19</v>
      </c>
      <c r="G31" s="7">
        <v>25</v>
      </c>
      <c r="H31" s="163">
        <v>0.76</v>
      </c>
      <c r="I31" s="164">
        <v>0.31</v>
      </c>
      <c r="J31" s="163">
        <v>0.86</v>
      </c>
      <c r="K31" s="164">
        <v>0.55000000000000004</v>
      </c>
      <c r="L31" s="18">
        <f>G31/360*255</f>
        <v>17.708333333333336</v>
      </c>
      <c r="M31" s="19">
        <f>H31*255</f>
        <v>193.8</v>
      </c>
      <c r="N31" s="20">
        <f>I31*255</f>
        <v>79.05</v>
      </c>
      <c r="O31" s="217" t="str">
        <f>myRGBLuminance(D31,E31,F31,235)</f>
        <v/>
      </c>
      <c r="P31" s="220" t="str">
        <f>myRGBLuminance(D31,E31,F31,180)</f>
        <v/>
      </c>
      <c r="Q31" s="221" t="str">
        <f>myRGBLuminance(D31,E31,F31,85)</f>
        <v/>
      </c>
    </row>
    <row r="32" spans="1:17" ht="16.5" thickTop="1" thickBot="1" x14ac:dyDescent="0.3">
      <c r="A32" s="77" t="str">
        <f>myRGB(D32,E32,F32)</f>
        <v/>
      </c>
      <c r="B32" s="5" t="s">
        <v>164</v>
      </c>
      <c r="C32" s="6" t="s">
        <v>165</v>
      </c>
      <c r="D32" s="11">
        <v>255</v>
      </c>
      <c r="E32" s="12">
        <v>245</v>
      </c>
      <c r="F32" s="13">
        <v>238</v>
      </c>
      <c r="G32" s="7">
        <v>25</v>
      </c>
      <c r="H32" s="163">
        <v>1</v>
      </c>
      <c r="I32" s="164">
        <v>0.97</v>
      </c>
      <c r="J32" s="163">
        <v>7.0000000000000007E-2</v>
      </c>
      <c r="K32" s="164">
        <v>1</v>
      </c>
      <c r="L32" s="18">
        <f>G32/360*255</f>
        <v>17.708333333333336</v>
      </c>
      <c r="M32" s="19">
        <f>H32*255</f>
        <v>255</v>
      </c>
      <c r="N32" s="20">
        <f>I32*255</f>
        <v>247.35</v>
      </c>
      <c r="O32" s="222" t="str">
        <f>myRGBLuminance(D32,E32,F32,235)</f>
        <v/>
      </c>
      <c r="P32" s="223" t="str">
        <f>myRGBLuminance(D32,E32,F32,180)</f>
        <v/>
      </c>
      <c r="Q32" s="224" t="str">
        <f>myRGBLuminance(D32,E32,F32,85)</f>
        <v/>
      </c>
    </row>
    <row r="33" spans="1:17" ht="16.5" thickTop="1" thickBot="1" x14ac:dyDescent="0.3">
      <c r="A33" s="71" t="str">
        <f>myRGB(D33,E33,F33)</f>
        <v/>
      </c>
      <c r="B33" s="5" t="s">
        <v>286</v>
      </c>
      <c r="C33" s="6" t="s">
        <v>162</v>
      </c>
      <c r="D33" s="11">
        <v>244</v>
      </c>
      <c r="E33" s="12">
        <v>164</v>
      </c>
      <c r="F33" s="13">
        <v>96</v>
      </c>
      <c r="G33" s="7">
        <v>28</v>
      </c>
      <c r="H33" s="163">
        <v>0.87</v>
      </c>
      <c r="I33" s="164">
        <v>0.67</v>
      </c>
      <c r="J33" s="163">
        <v>0.61</v>
      </c>
      <c r="K33" s="164">
        <v>0.96</v>
      </c>
      <c r="L33" s="18">
        <f>G33/360*255</f>
        <v>19.833333333333332</v>
      </c>
      <c r="M33" s="19">
        <f>H33*255</f>
        <v>221.85</v>
      </c>
      <c r="N33" s="20">
        <f>I33*255</f>
        <v>170.85000000000002</v>
      </c>
      <c r="O33" s="225" t="str">
        <f>myRGBLuminance(D33,E33,F33,235)</f>
        <v/>
      </c>
      <c r="P33" s="226" t="str">
        <f>myRGBLuminance(D33,E33,F33,180)</f>
        <v/>
      </c>
      <c r="Q33" s="227" t="str">
        <f>myRGBLuminance(D33,E33,F33,85)</f>
        <v/>
      </c>
    </row>
    <row r="34" spans="1:17" ht="16.5" thickTop="1" thickBot="1" x14ac:dyDescent="0.3">
      <c r="A34" s="80" t="str">
        <f>myRGB(D34,E34,F34)</f>
        <v/>
      </c>
      <c r="B34" s="5" t="s">
        <v>281</v>
      </c>
      <c r="C34" s="6" t="s">
        <v>144</v>
      </c>
      <c r="D34" s="11">
        <v>255</v>
      </c>
      <c r="E34" s="12">
        <v>218</v>
      </c>
      <c r="F34" s="13">
        <v>185</v>
      </c>
      <c r="G34" s="7">
        <v>28</v>
      </c>
      <c r="H34" s="163">
        <v>1</v>
      </c>
      <c r="I34" s="164">
        <v>0.86</v>
      </c>
      <c r="J34" s="163">
        <v>0.27</v>
      </c>
      <c r="K34" s="164">
        <v>1</v>
      </c>
      <c r="L34" s="18">
        <f>G34/360*255</f>
        <v>19.833333333333332</v>
      </c>
      <c r="M34" s="19">
        <f>H34*255</f>
        <v>255</v>
      </c>
      <c r="N34" s="20">
        <f>I34*255</f>
        <v>219.29999999999998</v>
      </c>
      <c r="O34" s="228" t="str">
        <f>myRGBLuminance(D34,E34,F34,235)</f>
        <v/>
      </c>
      <c r="P34" s="229" t="str">
        <f>myRGBLuminance(D34,E34,F34,180)</f>
        <v/>
      </c>
      <c r="Q34" s="230" t="str">
        <f>myRGBLuminance(D34,E34,F34,85)</f>
        <v/>
      </c>
    </row>
    <row r="35" spans="1:17" ht="16.5" thickTop="1" thickBot="1" x14ac:dyDescent="0.3">
      <c r="A35" s="162" t="str">
        <f>myRGB(D35,E35,F35)</f>
        <v/>
      </c>
      <c r="B35" s="5" t="s">
        <v>145</v>
      </c>
      <c r="C35" s="6" t="s">
        <v>146</v>
      </c>
      <c r="D35" s="11">
        <v>205</v>
      </c>
      <c r="E35" s="12">
        <v>133</v>
      </c>
      <c r="F35" s="13">
        <v>63</v>
      </c>
      <c r="G35" s="7">
        <v>30</v>
      </c>
      <c r="H35" s="163">
        <v>0.59</v>
      </c>
      <c r="I35" s="164">
        <v>0.53</v>
      </c>
      <c r="J35" s="163">
        <v>0.69</v>
      </c>
      <c r="K35" s="164">
        <v>0.8</v>
      </c>
      <c r="L35" s="18">
        <f>G35/360*255</f>
        <v>21.25</v>
      </c>
      <c r="M35" s="19">
        <f>H35*255</f>
        <v>150.44999999999999</v>
      </c>
      <c r="N35" s="20">
        <f>I35*255</f>
        <v>135.15</v>
      </c>
      <c r="O35" s="231" t="str">
        <f>myRGBLuminance(D35,E35,F35,235)</f>
        <v/>
      </c>
      <c r="P35" s="232" t="str">
        <f>myRGBLuminance(D35,E35,F35,180)</f>
        <v/>
      </c>
      <c r="Q35" s="233" t="str">
        <f>myRGBLuminance(D35,E35,F35,85)</f>
        <v/>
      </c>
    </row>
    <row r="36" spans="1:17" ht="16.5" thickTop="1" thickBot="1" x14ac:dyDescent="0.3">
      <c r="A36" s="152" t="str">
        <f>myRGB(D36,E36,F36)</f>
        <v/>
      </c>
      <c r="B36" s="165" t="s">
        <v>109</v>
      </c>
      <c r="C36" s="6" t="s">
        <v>110</v>
      </c>
      <c r="D36" s="11">
        <v>250</v>
      </c>
      <c r="E36" s="12">
        <v>240</v>
      </c>
      <c r="F36" s="13">
        <v>230</v>
      </c>
      <c r="G36" s="7">
        <v>30</v>
      </c>
      <c r="H36" s="163">
        <v>0.67</v>
      </c>
      <c r="I36" s="164">
        <v>0.94</v>
      </c>
      <c r="J36" s="163">
        <v>0.08</v>
      </c>
      <c r="K36" s="164">
        <v>0.98</v>
      </c>
      <c r="L36" s="18">
        <f>G36/360*255</f>
        <v>21.25</v>
      </c>
      <c r="M36" s="19">
        <f>H36*255</f>
        <v>170.85000000000002</v>
      </c>
      <c r="N36" s="20">
        <f>I36*255</f>
        <v>239.7</v>
      </c>
      <c r="O36" s="234" t="str">
        <f>myRGBLuminance(D36,E36,F36,235)</f>
        <v/>
      </c>
      <c r="P36" s="235" t="str">
        <f>myRGBLuminance(D36,E36,F36,180)</f>
        <v/>
      </c>
      <c r="Q36" s="236" t="str">
        <f>myRGBLuminance(D36,E36,F36,85)</f>
        <v/>
      </c>
    </row>
    <row r="37" spans="1:17" ht="16.5" thickTop="1" thickBot="1" x14ac:dyDescent="0.3">
      <c r="A37" s="130" t="str">
        <f>myRGB(D37,E37,F37)</f>
        <v/>
      </c>
      <c r="B37" s="5" t="s">
        <v>224</v>
      </c>
      <c r="C37" s="6" t="s">
        <v>46</v>
      </c>
      <c r="D37" s="11">
        <v>255</v>
      </c>
      <c r="E37" s="12">
        <v>140</v>
      </c>
      <c r="F37" s="13">
        <v>0</v>
      </c>
      <c r="G37" s="7">
        <v>33</v>
      </c>
      <c r="H37" s="163">
        <v>1</v>
      </c>
      <c r="I37" s="164">
        <v>0.5</v>
      </c>
      <c r="J37" s="163">
        <v>1</v>
      </c>
      <c r="K37" s="164">
        <v>1</v>
      </c>
      <c r="L37" s="18">
        <f>G37/360*255</f>
        <v>23.375</v>
      </c>
      <c r="M37" s="19">
        <f>H37*255</f>
        <v>255</v>
      </c>
      <c r="N37" s="20">
        <f>I37*255</f>
        <v>127.5</v>
      </c>
      <c r="O37" s="237" t="str">
        <f>myRGBLuminance(D37,E37,F37,235)</f>
        <v/>
      </c>
      <c r="P37" s="238" t="str">
        <f>myRGBLuminance(D37,E37,F37,180)</f>
        <v/>
      </c>
      <c r="Q37" s="239" t="str">
        <f>myRGBLuminance(D37,E37,F37,85)</f>
        <v/>
      </c>
    </row>
    <row r="38" spans="1:17" ht="16.5" thickTop="1" thickBot="1" x14ac:dyDescent="0.3">
      <c r="A38" s="141" t="str">
        <f>myRGB(D38,E38,F38)</f>
        <v/>
      </c>
      <c r="B38" s="165" t="s">
        <v>15</v>
      </c>
      <c r="C38" s="6" t="s">
        <v>16</v>
      </c>
      <c r="D38" s="11">
        <v>255</v>
      </c>
      <c r="E38" s="12">
        <v>228</v>
      </c>
      <c r="F38" s="13">
        <v>196</v>
      </c>
      <c r="G38" s="7">
        <v>33</v>
      </c>
      <c r="H38" s="163">
        <v>1</v>
      </c>
      <c r="I38" s="164">
        <v>0.88</v>
      </c>
      <c r="J38" s="163">
        <v>0.23</v>
      </c>
      <c r="K38" s="164">
        <v>1</v>
      </c>
      <c r="L38" s="18">
        <f>G38/360*255</f>
        <v>23.375</v>
      </c>
      <c r="M38" s="19">
        <f>H38*255</f>
        <v>255</v>
      </c>
      <c r="N38" s="20">
        <f>I38*255</f>
        <v>224.4</v>
      </c>
      <c r="O38" s="237" t="str">
        <f>myRGBLuminance(D38,E38,F38,235)</f>
        <v/>
      </c>
      <c r="P38" s="240" t="str">
        <f>myRGBLuminance(D38,E38,F38,180)</f>
        <v/>
      </c>
      <c r="Q38" s="241" t="str">
        <f>myRGBLuminance(D38,E38,F38,85)</f>
        <v/>
      </c>
    </row>
    <row r="39" spans="1:17" ht="16.5" thickTop="1" thickBot="1" x14ac:dyDescent="0.3">
      <c r="A39" s="90" t="str">
        <f>myRGB(D39,E39,F39)</f>
        <v/>
      </c>
      <c r="B39" s="5" t="s">
        <v>177</v>
      </c>
      <c r="C39" s="6" t="s">
        <v>178</v>
      </c>
      <c r="D39" s="11">
        <v>210</v>
      </c>
      <c r="E39" s="12">
        <v>180</v>
      </c>
      <c r="F39" s="13">
        <v>140</v>
      </c>
      <c r="G39" s="7">
        <v>34</v>
      </c>
      <c r="H39" s="163">
        <v>0.44</v>
      </c>
      <c r="I39" s="164">
        <v>0.69</v>
      </c>
      <c r="J39" s="163">
        <v>0.33</v>
      </c>
      <c r="K39" s="164">
        <v>0.82</v>
      </c>
      <c r="L39" s="18">
        <f>G39/360*255</f>
        <v>24.083333333333332</v>
      </c>
      <c r="M39" s="19">
        <f>H39*255</f>
        <v>112.2</v>
      </c>
      <c r="N39" s="20">
        <f>I39*255</f>
        <v>175.95</v>
      </c>
      <c r="O39" s="242" t="str">
        <f>myRGBLuminance(D39,E39,F39,235)</f>
        <v/>
      </c>
      <c r="P39" s="243" t="str">
        <f>myRGBLuminance(D39,E39,F39,180)</f>
        <v/>
      </c>
      <c r="Q39" s="244" t="str">
        <f>myRGBLuminance(D39,E39,F39,85)</f>
        <v/>
      </c>
    </row>
    <row r="40" spans="1:17" ht="16.5" thickTop="1" thickBot="1" x14ac:dyDescent="0.3">
      <c r="A40" s="105" t="str">
        <f>myRGB(D40,E40,F40)</f>
        <v/>
      </c>
      <c r="B40" s="165" t="s">
        <v>24</v>
      </c>
      <c r="C40" s="6" t="s">
        <v>25</v>
      </c>
      <c r="D40" s="11">
        <v>222</v>
      </c>
      <c r="E40" s="12">
        <v>184</v>
      </c>
      <c r="F40" s="13">
        <v>135</v>
      </c>
      <c r="G40" s="7">
        <v>34</v>
      </c>
      <c r="H40" s="163">
        <v>0.56999999999999995</v>
      </c>
      <c r="I40" s="164">
        <v>0.7</v>
      </c>
      <c r="J40" s="163">
        <v>0.39</v>
      </c>
      <c r="K40" s="164">
        <v>0.87</v>
      </c>
      <c r="L40" s="18">
        <f>G40/360*255</f>
        <v>24.083333333333332</v>
      </c>
      <c r="M40" s="19">
        <f>H40*255</f>
        <v>145.35</v>
      </c>
      <c r="N40" s="20">
        <f>I40*255</f>
        <v>178.5</v>
      </c>
      <c r="O40" s="245" t="str">
        <f>myRGBLuminance(D40,E40,F40,235)</f>
        <v/>
      </c>
      <c r="P40" s="246" t="str">
        <f>myRGBLuminance(D40,E40,F40,180)</f>
        <v/>
      </c>
      <c r="Q40" s="247" t="str">
        <f>myRGBLuminance(D40,E40,F40,85)</f>
        <v/>
      </c>
    </row>
    <row r="41" spans="1:17" ht="16.5" thickTop="1" thickBot="1" x14ac:dyDescent="0.3">
      <c r="A41" s="22" t="str">
        <f>myRGB(D41,E41,F41)</f>
        <v/>
      </c>
      <c r="B41" s="5" t="s">
        <v>211</v>
      </c>
      <c r="C41" s="6" t="s">
        <v>5</v>
      </c>
      <c r="D41" s="11">
        <v>250</v>
      </c>
      <c r="E41" s="12">
        <v>235</v>
      </c>
      <c r="F41" s="13">
        <v>215</v>
      </c>
      <c r="G41" s="7">
        <v>34</v>
      </c>
      <c r="H41" s="163">
        <v>0.78</v>
      </c>
      <c r="I41" s="164">
        <v>0.91</v>
      </c>
      <c r="J41" s="163">
        <v>0.14000000000000001</v>
      </c>
      <c r="K41" s="164">
        <v>0.98</v>
      </c>
      <c r="L41" s="18">
        <f>G41/360*255</f>
        <v>24.083333333333332</v>
      </c>
      <c r="M41" s="19">
        <f>H41*255</f>
        <v>198.9</v>
      </c>
      <c r="N41" s="20">
        <f>I41*255</f>
        <v>232.05</v>
      </c>
      <c r="O41" s="248" t="str">
        <f>myRGBLuminance(D41,E41,F41,235)</f>
        <v/>
      </c>
      <c r="P41" s="249" t="str">
        <f>myRGBLuminance(D41,E41,F41,180)</f>
        <v/>
      </c>
      <c r="Q41" s="250" t="str">
        <f>myRGBLuminance(D41,E41,F41,85)</f>
        <v/>
      </c>
    </row>
    <row r="42" spans="1:17" ht="16.5" thickTop="1" thickBot="1" x14ac:dyDescent="0.3">
      <c r="A42" s="34" t="str">
        <f>myRGB(D42,E42,F42)</f>
        <v/>
      </c>
      <c r="B42" s="5" t="s">
        <v>272</v>
      </c>
      <c r="C42" s="6" t="s">
        <v>128</v>
      </c>
      <c r="D42" s="11">
        <v>255</v>
      </c>
      <c r="E42" s="12">
        <v>222</v>
      </c>
      <c r="F42" s="13">
        <v>173</v>
      </c>
      <c r="G42" s="7">
        <v>36</v>
      </c>
      <c r="H42" s="163">
        <v>1</v>
      </c>
      <c r="I42" s="164">
        <v>0.84</v>
      </c>
      <c r="J42" s="163">
        <v>0.32</v>
      </c>
      <c r="K42" s="164">
        <v>1</v>
      </c>
      <c r="L42" s="18">
        <f>G42/360*255</f>
        <v>25.5</v>
      </c>
      <c r="M42" s="19">
        <f>H42*255</f>
        <v>255</v>
      </c>
      <c r="N42" s="20">
        <f>I42*255</f>
        <v>214.2</v>
      </c>
      <c r="O42" s="251" t="str">
        <f>myRGBLuminance(D42,E42,F42,235)</f>
        <v/>
      </c>
      <c r="P42" s="252" t="str">
        <f>myRGBLuminance(D42,E42,F42,180)</f>
        <v/>
      </c>
      <c r="Q42" s="253" t="str">
        <f>myRGBLuminance(D42,E42,F42,85)</f>
        <v/>
      </c>
    </row>
    <row r="43" spans="1:17" ht="16.5" thickTop="1" thickBot="1" x14ac:dyDescent="0.3">
      <c r="A43" s="143" t="str">
        <f>myRGB(D43,E43,F43)</f>
        <v/>
      </c>
      <c r="B43" s="165" t="s">
        <v>212</v>
      </c>
      <c r="C43" s="6" t="s">
        <v>19</v>
      </c>
      <c r="D43" s="11">
        <v>255</v>
      </c>
      <c r="E43" s="12">
        <v>235</v>
      </c>
      <c r="F43" s="13">
        <v>205</v>
      </c>
      <c r="G43" s="7">
        <v>36</v>
      </c>
      <c r="H43" s="163">
        <v>1</v>
      </c>
      <c r="I43" s="164">
        <v>0.9</v>
      </c>
      <c r="J43" s="163">
        <v>0.2</v>
      </c>
      <c r="K43" s="164">
        <v>1</v>
      </c>
      <c r="L43" s="18">
        <f>G43/360*255</f>
        <v>25.5</v>
      </c>
      <c r="M43" s="19">
        <f>H43*255</f>
        <v>255</v>
      </c>
      <c r="N43" s="20">
        <f>I43*255</f>
        <v>229.5</v>
      </c>
      <c r="O43" s="251" t="str">
        <f>myRGBLuminance(D43,E43,F43,235)</f>
        <v/>
      </c>
      <c r="P43" s="252" t="str">
        <f>myRGBLuminance(D43,E43,F43,180)</f>
        <v/>
      </c>
      <c r="Q43" s="253" t="str">
        <f>myRGBLuminance(D43,E43,F43,85)</f>
        <v/>
      </c>
    </row>
    <row r="44" spans="1:17" ht="16.5" thickTop="1" thickBot="1" x14ac:dyDescent="0.3">
      <c r="A44" s="121" t="str">
        <f>myRGB(D44,E44,F44)</f>
        <v/>
      </c>
      <c r="B44" s="5" t="s">
        <v>280</v>
      </c>
      <c r="C44" s="6" t="s">
        <v>143</v>
      </c>
      <c r="D44" s="11">
        <v>255</v>
      </c>
      <c r="E44" s="12">
        <v>239</v>
      </c>
      <c r="F44" s="13">
        <v>213</v>
      </c>
      <c r="G44" s="7">
        <v>37</v>
      </c>
      <c r="H44" s="163">
        <v>1</v>
      </c>
      <c r="I44" s="164">
        <v>0.92</v>
      </c>
      <c r="J44" s="163">
        <v>0.16</v>
      </c>
      <c r="K44" s="164">
        <v>1</v>
      </c>
      <c r="L44" s="18">
        <f>G44/360*255</f>
        <v>26.208333333333332</v>
      </c>
      <c r="M44" s="19">
        <f>H44*255</f>
        <v>255</v>
      </c>
      <c r="N44" s="20">
        <f>I44*255</f>
        <v>234.60000000000002</v>
      </c>
      <c r="O44" s="254" t="str">
        <f>myRGBLuminance(D44,E44,F44,235)</f>
        <v/>
      </c>
      <c r="P44" s="255" t="str">
        <f>myRGBLuminance(D44,E44,F44,180)</f>
        <v/>
      </c>
      <c r="Q44" s="256" t="str">
        <f>myRGBLuminance(D44,E44,F44,85)</f>
        <v/>
      </c>
    </row>
    <row r="45" spans="1:17" ht="16.5" thickTop="1" thickBot="1" x14ac:dyDescent="0.3">
      <c r="A45" s="154" t="str">
        <f>myRGB(D45,E45,F45)</f>
        <v/>
      </c>
      <c r="B45" s="165" t="s">
        <v>126</v>
      </c>
      <c r="C45" s="6" t="s">
        <v>127</v>
      </c>
      <c r="D45" s="11">
        <v>255</v>
      </c>
      <c r="E45" s="12">
        <v>228</v>
      </c>
      <c r="F45" s="13">
        <v>181</v>
      </c>
      <c r="G45" s="7">
        <v>38</v>
      </c>
      <c r="H45" s="163">
        <v>1</v>
      </c>
      <c r="I45" s="164">
        <v>0.86</v>
      </c>
      <c r="J45" s="163">
        <v>0.28999999999999998</v>
      </c>
      <c r="K45" s="164">
        <v>1</v>
      </c>
      <c r="L45" s="18">
        <f>G45/360*255</f>
        <v>26.916666666666668</v>
      </c>
      <c r="M45" s="19">
        <f>H45*255</f>
        <v>255</v>
      </c>
      <c r="N45" s="20">
        <f>I45*255</f>
        <v>219.29999999999998</v>
      </c>
      <c r="O45" s="254" t="str">
        <f>myRGBLuminance(D45,E45,F45,235)</f>
        <v/>
      </c>
      <c r="P45" s="257" t="str">
        <f>myRGBLuminance(D45,E45,F45,180)</f>
        <v/>
      </c>
      <c r="Q45" s="258" t="str">
        <f>myRGBLuminance(D45,E45,F45,85)</f>
        <v/>
      </c>
    </row>
    <row r="46" spans="1:17" ht="16.5" thickTop="1" thickBot="1" x14ac:dyDescent="0.3">
      <c r="A46" s="75" t="str">
        <f>myRGB(D46,E46,F46)</f>
        <v/>
      </c>
      <c r="B46" s="5" t="s">
        <v>189</v>
      </c>
      <c r="C46" s="6" t="s">
        <v>190</v>
      </c>
      <c r="D46" s="11">
        <v>245</v>
      </c>
      <c r="E46" s="12">
        <v>222</v>
      </c>
      <c r="F46" s="13">
        <v>179</v>
      </c>
      <c r="G46" s="7">
        <v>39</v>
      </c>
      <c r="H46" s="163">
        <v>0.77</v>
      </c>
      <c r="I46" s="164">
        <v>0.83</v>
      </c>
      <c r="J46" s="163">
        <v>0.27</v>
      </c>
      <c r="K46" s="164">
        <v>0.96</v>
      </c>
      <c r="L46" s="18">
        <f>G46/360*255</f>
        <v>27.625</v>
      </c>
      <c r="M46" s="19">
        <f>H46*255</f>
        <v>196.35</v>
      </c>
      <c r="N46" s="20">
        <f>I46*255</f>
        <v>211.64999999999998</v>
      </c>
      <c r="O46" s="259" t="str">
        <f>myRGBLuminance(D46,E46,F46,235)</f>
        <v/>
      </c>
      <c r="P46" s="260" t="str">
        <f>myRGBLuminance(D46,E46,F46,180)</f>
        <v/>
      </c>
      <c r="Q46" s="261" t="str">
        <f>myRGBLuminance(D46,E46,F46,85)</f>
        <v/>
      </c>
    </row>
    <row r="47" spans="1:17" ht="16.5" thickTop="1" thickBot="1" x14ac:dyDescent="0.3">
      <c r="A47" s="68" t="str">
        <f>myRGB(D47,E47,F47)</f>
        <v/>
      </c>
      <c r="B47" s="5" t="s">
        <v>273</v>
      </c>
      <c r="C47" s="6" t="s">
        <v>130</v>
      </c>
      <c r="D47" s="11">
        <v>253</v>
      </c>
      <c r="E47" s="12">
        <v>245</v>
      </c>
      <c r="F47" s="13">
        <v>230</v>
      </c>
      <c r="G47" s="7">
        <v>39</v>
      </c>
      <c r="H47" s="163">
        <v>0.85</v>
      </c>
      <c r="I47" s="164">
        <v>0.95</v>
      </c>
      <c r="J47" s="163">
        <v>0.09</v>
      </c>
      <c r="K47" s="164">
        <v>0.99</v>
      </c>
      <c r="L47" s="18">
        <f>G47/360*255</f>
        <v>27.625</v>
      </c>
      <c r="M47" s="19">
        <f>H47*255</f>
        <v>216.75</v>
      </c>
      <c r="N47" s="20">
        <f>I47*255</f>
        <v>242.25</v>
      </c>
      <c r="O47" s="262" t="str">
        <f>myRGBLuminance(D47,E47,F47,235)</f>
        <v/>
      </c>
      <c r="P47" s="263" t="str">
        <f>myRGBLuminance(D47,E47,F47,180)</f>
        <v/>
      </c>
      <c r="Q47" s="264" t="str">
        <f>myRGBLuminance(D47,E47,F47,85)</f>
        <v/>
      </c>
    </row>
    <row r="48" spans="1:17" ht="16.5" thickTop="1" thickBot="1" x14ac:dyDescent="0.3">
      <c r="A48" s="99" t="str">
        <f>myRGB(D48,E48,F48)</f>
        <v/>
      </c>
      <c r="B48" s="5" t="s">
        <v>134</v>
      </c>
      <c r="C48" s="6" t="s">
        <v>135</v>
      </c>
      <c r="D48" s="11">
        <v>255</v>
      </c>
      <c r="E48" s="12">
        <v>165</v>
      </c>
      <c r="F48" s="13">
        <v>0</v>
      </c>
      <c r="G48" s="7">
        <v>39</v>
      </c>
      <c r="H48" s="163">
        <v>1</v>
      </c>
      <c r="I48" s="164">
        <v>0.5</v>
      </c>
      <c r="J48" s="163">
        <v>1</v>
      </c>
      <c r="K48" s="164">
        <v>1</v>
      </c>
      <c r="L48" s="18">
        <f>G48/360*255</f>
        <v>27.625</v>
      </c>
      <c r="M48" s="19">
        <f>H48*255</f>
        <v>255</v>
      </c>
      <c r="N48" s="20">
        <f>I48*255</f>
        <v>127.5</v>
      </c>
      <c r="O48" s="265" t="str">
        <f>myRGBLuminance(D48,E48,F48,235)</f>
        <v/>
      </c>
      <c r="P48" s="266" t="str">
        <f>myRGBLuminance(D48,E48,F48,180)</f>
        <v/>
      </c>
      <c r="Q48" s="267" t="str">
        <f>myRGBLuminance(D48,E48,F48,85)</f>
        <v/>
      </c>
    </row>
    <row r="49" spans="1:17" ht="16.5" thickTop="1" thickBot="1" x14ac:dyDescent="0.3">
      <c r="A49" s="61" t="str">
        <f>myRGB(D49,E49,F49)</f>
        <v/>
      </c>
      <c r="B49" s="165" t="s">
        <v>237</v>
      </c>
      <c r="C49" s="6" t="s">
        <v>61</v>
      </c>
      <c r="D49" s="11">
        <v>255</v>
      </c>
      <c r="E49" s="12">
        <v>250</v>
      </c>
      <c r="F49" s="13">
        <v>240</v>
      </c>
      <c r="G49" s="7">
        <v>40</v>
      </c>
      <c r="H49" s="163">
        <v>1</v>
      </c>
      <c r="I49" s="164">
        <v>0.97</v>
      </c>
      <c r="J49" s="163">
        <v>0.06</v>
      </c>
      <c r="K49" s="164">
        <v>1</v>
      </c>
      <c r="L49" s="18">
        <f>G49/360*255</f>
        <v>28.333333333333332</v>
      </c>
      <c r="M49" s="19">
        <f>H49*255</f>
        <v>255</v>
      </c>
      <c r="N49" s="20">
        <f>I49*255</f>
        <v>247.35</v>
      </c>
      <c r="O49" s="268" t="str">
        <f>myRGBLuminance(D49,E49,F49,235)</f>
        <v/>
      </c>
      <c r="P49" s="269" t="str">
        <f>myRGBLuminance(D49,E49,F49,180)</f>
        <v/>
      </c>
      <c r="Q49" s="270" t="str">
        <f>myRGBLuminance(D49,E49,F49,85)</f>
        <v/>
      </c>
    </row>
    <row r="50" spans="1:17" ht="16.5" thickTop="1" thickBot="1" x14ac:dyDescent="0.3">
      <c r="A50" s="28" t="str">
        <f>myRGB(D50,E50,F50)</f>
        <v/>
      </c>
      <c r="B50" s="5" t="s">
        <v>71</v>
      </c>
      <c r="C50" s="6" t="s">
        <v>72</v>
      </c>
      <c r="D50" s="11">
        <v>218</v>
      </c>
      <c r="E50" s="12">
        <v>165</v>
      </c>
      <c r="F50" s="13">
        <v>32</v>
      </c>
      <c r="G50" s="7">
        <v>43</v>
      </c>
      <c r="H50" s="163">
        <v>0.74</v>
      </c>
      <c r="I50" s="164">
        <v>0.49</v>
      </c>
      <c r="J50" s="163">
        <v>0.85</v>
      </c>
      <c r="K50" s="164">
        <v>0.85</v>
      </c>
      <c r="L50" s="18">
        <f>G50/360*255</f>
        <v>30.458333333333336</v>
      </c>
      <c r="M50" s="19">
        <f>H50*255</f>
        <v>188.7</v>
      </c>
      <c r="N50" s="20">
        <f>I50*255</f>
        <v>124.95</v>
      </c>
      <c r="O50" s="271" t="str">
        <f>myRGBLuminance(D50,E50,F50,235)</f>
        <v/>
      </c>
      <c r="P50" s="272" t="str">
        <f>myRGBLuminance(D50,E50,F50,180)</f>
        <v/>
      </c>
      <c r="Q50" s="273" t="str">
        <f>myRGBLuminance(D50,E50,F50,85)</f>
        <v/>
      </c>
    </row>
    <row r="51" spans="1:17" ht="16.5" thickTop="1" thickBot="1" x14ac:dyDescent="0.3">
      <c r="A51" s="81" t="str">
        <f>myRGB(D51,E51,F51)</f>
        <v/>
      </c>
      <c r="B51" s="5" t="s">
        <v>218</v>
      </c>
      <c r="C51" s="6" t="s">
        <v>40</v>
      </c>
      <c r="D51" s="11">
        <v>184</v>
      </c>
      <c r="E51" s="12">
        <v>134</v>
      </c>
      <c r="F51" s="13">
        <v>11</v>
      </c>
      <c r="G51" s="7">
        <v>43</v>
      </c>
      <c r="H51" s="163">
        <v>0.89</v>
      </c>
      <c r="I51" s="164">
        <v>0.38</v>
      </c>
      <c r="J51" s="163">
        <v>0.94</v>
      </c>
      <c r="K51" s="164">
        <v>0.72</v>
      </c>
      <c r="L51" s="18">
        <f>G51/360*255</f>
        <v>30.458333333333336</v>
      </c>
      <c r="M51" s="19">
        <f>H51*255</f>
        <v>226.95000000000002</v>
      </c>
      <c r="N51" s="20">
        <f>I51*255</f>
        <v>96.9</v>
      </c>
      <c r="O51" s="274" t="str">
        <f>myRGBLuminance(D51,E51,F51,235)</f>
        <v/>
      </c>
      <c r="P51" s="275" t="str">
        <f>myRGBLuminance(D51,E51,F51,180)</f>
        <v/>
      </c>
      <c r="Q51" s="276" t="str">
        <f>myRGBLuminance(D51,E51,F51,85)</f>
        <v/>
      </c>
    </row>
    <row r="52" spans="1:17" ht="16.5" thickTop="1" thickBot="1" x14ac:dyDescent="0.3">
      <c r="A52" s="41" t="str">
        <f>myRGB(D52,E52,F52)</f>
        <v/>
      </c>
      <c r="B52" s="165" t="s">
        <v>34</v>
      </c>
      <c r="C52" s="6" t="s">
        <v>35</v>
      </c>
      <c r="D52" s="11">
        <v>255</v>
      </c>
      <c r="E52" s="12">
        <v>248</v>
      </c>
      <c r="F52" s="13">
        <v>220</v>
      </c>
      <c r="G52" s="7">
        <v>48</v>
      </c>
      <c r="H52" s="163">
        <v>1</v>
      </c>
      <c r="I52" s="164">
        <v>0.93</v>
      </c>
      <c r="J52" s="163">
        <v>0.14000000000000001</v>
      </c>
      <c r="K52" s="164">
        <v>1</v>
      </c>
      <c r="L52" s="18">
        <f>G52/360*255</f>
        <v>34</v>
      </c>
      <c r="M52" s="19">
        <f>H52*255</f>
        <v>255</v>
      </c>
      <c r="N52" s="20">
        <f>I52*255</f>
        <v>237.15</v>
      </c>
      <c r="O52" s="277" t="str">
        <f>myRGBLuminance(D52,E52,F52,235)</f>
        <v/>
      </c>
      <c r="P52" s="278" t="str">
        <f>myRGBLuminance(D52,E52,F52,180)</f>
        <v/>
      </c>
      <c r="Q52" s="279" t="str">
        <f>myRGBLuminance(D52,E52,F52,85)</f>
        <v/>
      </c>
    </row>
    <row r="53" spans="1:17" ht="16.5" thickTop="1" thickBot="1" x14ac:dyDescent="0.3">
      <c r="A53" s="148" t="str">
        <f>myRGB(D53,E53,F53)</f>
        <v/>
      </c>
      <c r="B53" s="5" t="s">
        <v>69</v>
      </c>
      <c r="C53" s="6" t="s">
        <v>70</v>
      </c>
      <c r="D53" s="11">
        <v>255</v>
      </c>
      <c r="E53" s="12">
        <v>215</v>
      </c>
      <c r="F53" s="13">
        <v>0</v>
      </c>
      <c r="G53" s="7">
        <v>51</v>
      </c>
      <c r="H53" s="163">
        <v>1</v>
      </c>
      <c r="I53" s="164">
        <v>0.5</v>
      </c>
      <c r="J53" s="163">
        <v>1</v>
      </c>
      <c r="K53" s="164">
        <v>1</v>
      </c>
      <c r="L53" s="18">
        <f>G53/360*255</f>
        <v>36.125</v>
      </c>
      <c r="M53" s="19">
        <f>H53*255</f>
        <v>255</v>
      </c>
      <c r="N53" s="20">
        <f>I53*255</f>
        <v>127.5</v>
      </c>
      <c r="O53" s="280" t="str">
        <f>myRGBLuminance(D53,E53,F53,235)</f>
        <v/>
      </c>
      <c r="P53" s="281" t="str">
        <f>myRGBLuminance(D53,E53,F53,180)</f>
        <v/>
      </c>
      <c r="Q53" s="282" t="str">
        <f>myRGBLuminance(D53,E53,F53,85)</f>
        <v/>
      </c>
    </row>
    <row r="54" spans="1:17" ht="16.5" thickTop="1" thickBot="1" x14ac:dyDescent="0.3">
      <c r="A54" s="110" t="str">
        <f>myRGB(D54,E54,F54)</f>
        <v/>
      </c>
      <c r="B54" s="5" t="s">
        <v>87</v>
      </c>
      <c r="C54" s="6" t="s">
        <v>88</v>
      </c>
      <c r="D54" s="11">
        <v>240</v>
      </c>
      <c r="E54" s="12">
        <v>230</v>
      </c>
      <c r="F54" s="13">
        <v>140</v>
      </c>
      <c r="G54" s="7">
        <v>54</v>
      </c>
      <c r="H54" s="163">
        <v>0.77</v>
      </c>
      <c r="I54" s="164">
        <v>0.75</v>
      </c>
      <c r="J54" s="163">
        <v>0.42</v>
      </c>
      <c r="K54" s="164">
        <v>0.94</v>
      </c>
      <c r="L54" s="18">
        <f>G54/360*255</f>
        <v>38.25</v>
      </c>
      <c r="M54" s="19">
        <f>H54*255</f>
        <v>196.35</v>
      </c>
      <c r="N54" s="20">
        <f>I54*255</f>
        <v>191.25</v>
      </c>
      <c r="O54" s="283" t="str">
        <f>myRGBLuminance(D54,E54,F54,235)</f>
        <v/>
      </c>
      <c r="P54" s="284" t="str">
        <f>myRGBLuminance(D54,E54,F54,180)</f>
        <v/>
      </c>
      <c r="Q54" s="285" t="str">
        <f>myRGBLuminance(D54,E54,F54,85)</f>
        <v/>
      </c>
    </row>
    <row r="55" spans="1:17" ht="16.5" thickTop="1" thickBot="1" x14ac:dyDescent="0.3">
      <c r="A55" s="150" t="str">
        <f>myRGB(D55,E55,F55)</f>
        <v/>
      </c>
      <c r="B55" s="5" t="s">
        <v>245</v>
      </c>
      <c r="C55" s="6" t="s">
        <v>93</v>
      </c>
      <c r="D55" s="11">
        <v>255</v>
      </c>
      <c r="E55" s="12">
        <v>250</v>
      </c>
      <c r="F55" s="13">
        <v>205</v>
      </c>
      <c r="G55" s="7">
        <v>54</v>
      </c>
      <c r="H55" s="163">
        <v>1</v>
      </c>
      <c r="I55" s="164">
        <v>0.9</v>
      </c>
      <c r="J55" s="163">
        <v>0.2</v>
      </c>
      <c r="K55" s="164">
        <v>1</v>
      </c>
      <c r="L55" s="18">
        <f>G55/360*255</f>
        <v>38.25</v>
      </c>
      <c r="M55" s="19">
        <f>H55*255</f>
        <v>255</v>
      </c>
      <c r="N55" s="20">
        <f>I55*255</f>
        <v>229.5</v>
      </c>
      <c r="O55" s="286" t="str">
        <f>myRGBLuminance(D55,E55,F55,235)</f>
        <v/>
      </c>
      <c r="P55" s="287" t="str">
        <f>myRGBLuminance(D55,E55,F55,180)</f>
        <v/>
      </c>
      <c r="Q55" s="288" t="str">
        <f>myRGBLuminance(D55,E55,F55,85)</f>
        <v/>
      </c>
    </row>
    <row r="56" spans="1:17" ht="16.5" thickTop="1" thickBot="1" x14ac:dyDescent="0.3">
      <c r="A56" s="35" t="str">
        <f>myRGB(D56,E56,F56)</f>
        <v/>
      </c>
      <c r="B56" s="5" t="s">
        <v>276</v>
      </c>
      <c r="C56" s="6" t="s">
        <v>139</v>
      </c>
      <c r="D56" s="11">
        <v>238</v>
      </c>
      <c r="E56" s="12">
        <v>232</v>
      </c>
      <c r="F56" s="13">
        <v>170</v>
      </c>
      <c r="G56" s="7">
        <v>55</v>
      </c>
      <c r="H56" s="163">
        <v>0.67</v>
      </c>
      <c r="I56" s="164">
        <v>0.8</v>
      </c>
      <c r="J56" s="163">
        <v>0.28999999999999998</v>
      </c>
      <c r="K56" s="164">
        <v>0.93</v>
      </c>
      <c r="L56" s="18">
        <f>G56/360*255</f>
        <v>38.958333333333336</v>
      </c>
      <c r="M56" s="19">
        <f>H56*255</f>
        <v>170.85000000000002</v>
      </c>
      <c r="N56" s="20">
        <f>I56*255</f>
        <v>204</v>
      </c>
      <c r="O56" s="289" t="str">
        <f>myRGBLuminance(D56,E56,F56,235)</f>
        <v/>
      </c>
      <c r="P56" s="290" t="str">
        <f>myRGBLuminance(D56,E56,F56,180)</f>
        <v/>
      </c>
      <c r="Q56" s="291" t="str">
        <f>myRGBLuminance(D56,E56,F56,85)</f>
        <v/>
      </c>
    </row>
    <row r="57" spans="1:17" ht="16.5" thickTop="1" thickBot="1" x14ac:dyDescent="0.3">
      <c r="A57" s="42" t="str">
        <f>myRGB(D57,E57,F57)</f>
        <v/>
      </c>
      <c r="B57" s="5" t="s">
        <v>221</v>
      </c>
      <c r="C57" s="6" t="s">
        <v>43</v>
      </c>
      <c r="D57" s="11">
        <v>189</v>
      </c>
      <c r="E57" s="12">
        <v>183</v>
      </c>
      <c r="F57" s="13">
        <v>107</v>
      </c>
      <c r="G57" s="7">
        <v>56</v>
      </c>
      <c r="H57" s="163">
        <v>0.38</v>
      </c>
      <c r="I57" s="164">
        <v>0.57999999999999996</v>
      </c>
      <c r="J57" s="163">
        <v>0.43</v>
      </c>
      <c r="K57" s="164">
        <v>0.74</v>
      </c>
      <c r="L57" s="18">
        <f>G57/360*255</f>
        <v>39.666666666666664</v>
      </c>
      <c r="M57" s="19">
        <f>H57*255</f>
        <v>96.9</v>
      </c>
      <c r="N57" s="20">
        <f>I57*255</f>
        <v>147.89999999999998</v>
      </c>
      <c r="O57" s="292" t="str">
        <f>myRGBLuminance(D57,E57,F57,235)</f>
        <v/>
      </c>
      <c r="P57" s="293" t="str">
        <f>myRGBLuminance(D57,E57,F57,180)</f>
        <v/>
      </c>
      <c r="Q57" s="294" t="str">
        <f>myRGBLuminance(D57,E57,F57,85)</f>
        <v/>
      </c>
    </row>
    <row r="58" spans="1:17" ht="16.5" thickTop="1" thickBot="1" x14ac:dyDescent="0.3">
      <c r="A58" s="127" t="str">
        <f>myRGB(D58,E58,F58)</f>
        <v/>
      </c>
      <c r="B58" s="5" t="s">
        <v>13</v>
      </c>
      <c r="C58" s="6" t="s">
        <v>14</v>
      </c>
      <c r="D58" s="11">
        <v>245</v>
      </c>
      <c r="E58" s="12">
        <v>245</v>
      </c>
      <c r="F58" s="13">
        <v>220</v>
      </c>
      <c r="G58" s="7">
        <v>60</v>
      </c>
      <c r="H58" s="163">
        <v>0.56000000000000005</v>
      </c>
      <c r="I58" s="164">
        <v>0.91</v>
      </c>
      <c r="J58" s="163">
        <v>0.1</v>
      </c>
      <c r="K58" s="164">
        <v>0.96</v>
      </c>
      <c r="L58" s="18">
        <f>G58/360*255</f>
        <v>42.5</v>
      </c>
      <c r="M58" s="19">
        <f>H58*255</f>
        <v>142.80000000000001</v>
      </c>
      <c r="N58" s="20">
        <f>I58*255</f>
        <v>232.05</v>
      </c>
      <c r="O58" s="295" t="str">
        <f>myRGBLuminance(D58,E58,F58,235)</f>
        <v/>
      </c>
      <c r="P58" s="296" t="str">
        <f>myRGBLuminance(D58,E58,F58,180)</f>
        <v/>
      </c>
      <c r="Q58" s="297" t="str">
        <f>myRGBLuminance(D58,E58,F58,85)</f>
        <v/>
      </c>
    </row>
    <row r="59" spans="1:17" ht="16.5" thickTop="1" thickBot="1" x14ac:dyDescent="0.3">
      <c r="A59" s="111" t="str">
        <f>myRGB(D59,E59,F59)</f>
        <v/>
      </c>
      <c r="B59" s="5" t="s">
        <v>249</v>
      </c>
      <c r="C59" s="6" t="s">
        <v>97</v>
      </c>
      <c r="D59" s="11">
        <v>250</v>
      </c>
      <c r="E59" s="12">
        <v>250</v>
      </c>
      <c r="F59" s="13">
        <v>210</v>
      </c>
      <c r="G59" s="7">
        <v>60</v>
      </c>
      <c r="H59" s="163">
        <v>0.8</v>
      </c>
      <c r="I59" s="164">
        <v>0.9</v>
      </c>
      <c r="J59" s="163">
        <v>0.16</v>
      </c>
      <c r="K59" s="164">
        <v>0.98</v>
      </c>
      <c r="L59" s="18">
        <f>G59/360*255</f>
        <v>42.5</v>
      </c>
      <c r="M59" s="19">
        <f>H59*255</f>
        <v>204</v>
      </c>
      <c r="N59" s="20">
        <f>I59*255</f>
        <v>229.5</v>
      </c>
      <c r="O59" s="298" t="str">
        <f>myRGBLuminance(D59,E59,F59,235)</f>
        <v/>
      </c>
      <c r="P59" s="299" t="str">
        <f>myRGBLuminance(D59,E59,F59,180)</f>
        <v/>
      </c>
      <c r="Q59" s="300" t="str">
        <f>myRGBLuminance(D59,E59,F59,85)</f>
        <v/>
      </c>
    </row>
    <row r="60" spans="1:17" ht="16.5" thickTop="1" thickBot="1" x14ac:dyDescent="0.3">
      <c r="A60" s="115" t="str">
        <f>myRGB(D60,E60,F60)</f>
        <v/>
      </c>
      <c r="B60" s="5" t="s">
        <v>131</v>
      </c>
      <c r="C60" s="6" t="s">
        <v>132</v>
      </c>
      <c r="D60" s="11">
        <v>128</v>
      </c>
      <c r="E60" s="12">
        <v>128</v>
      </c>
      <c r="F60" s="13">
        <v>0</v>
      </c>
      <c r="G60" s="7">
        <v>60</v>
      </c>
      <c r="H60" s="163">
        <v>1</v>
      </c>
      <c r="I60" s="164">
        <v>0.25</v>
      </c>
      <c r="J60" s="163">
        <v>1</v>
      </c>
      <c r="K60" s="164">
        <v>0.5</v>
      </c>
      <c r="L60" s="18">
        <f>G60/360*255</f>
        <v>42.5</v>
      </c>
      <c r="M60" s="19">
        <f>H60*255</f>
        <v>255</v>
      </c>
      <c r="N60" s="20">
        <f>I60*255</f>
        <v>63.75</v>
      </c>
      <c r="O60" s="301" t="str">
        <f>myRGBLuminance(D60,E60,F60,235)</f>
        <v/>
      </c>
      <c r="P60" s="302" t="str">
        <f>myRGBLuminance(D60,E60,F60,180)</f>
        <v/>
      </c>
      <c r="Q60" s="303" t="str">
        <f>myRGBLuminance(D60,E60,F60,85)</f>
        <v/>
      </c>
    </row>
    <row r="61" spans="1:17" ht="16.5" thickTop="1" thickBot="1" x14ac:dyDescent="0.3">
      <c r="A61" s="93" t="str">
        <f>myRGB(D61,E61,F61)</f>
        <v/>
      </c>
      <c r="B61" s="5" t="s">
        <v>194</v>
      </c>
      <c r="C61" s="6" t="s">
        <v>195</v>
      </c>
      <c r="D61" s="11">
        <v>255</v>
      </c>
      <c r="E61" s="12">
        <v>255</v>
      </c>
      <c r="F61" s="13">
        <v>0</v>
      </c>
      <c r="G61" s="7">
        <v>60</v>
      </c>
      <c r="H61" s="163">
        <v>1</v>
      </c>
      <c r="I61" s="164">
        <v>0.5</v>
      </c>
      <c r="J61" s="163">
        <v>1</v>
      </c>
      <c r="K61" s="164">
        <v>1</v>
      </c>
      <c r="L61" s="18">
        <f>G61/360*255</f>
        <v>42.5</v>
      </c>
      <c r="M61" s="19">
        <f>H61*255</f>
        <v>255</v>
      </c>
      <c r="N61" s="20">
        <f>I61*255</f>
        <v>127.5</v>
      </c>
      <c r="O61" s="301" t="str">
        <f>myRGBLuminance(D61,E61,F61,235)</f>
        <v/>
      </c>
      <c r="P61" s="302" t="str">
        <f>myRGBLuminance(D61,E61,F61,180)</f>
        <v/>
      </c>
      <c r="Q61" s="303" t="str">
        <f>myRGBLuminance(D61,E61,F61,85)</f>
        <v/>
      </c>
    </row>
    <row r="62" spans="1:17" ht="16.5" thickTop="1" thickBot="1" x14ac:dyDescent="0.3">
      <c r="A62" s="132" t="str">
        <f>myRGB(D62,E62,F62)</f>
        <v/>
      </c>
      <c r="B62" s="5" t="s">
        <v>258</v>
      </c>
      <c r="C62" s="6" t="s">
        <v>106</v>
      </c>
      <c r="D62" s="11">
        <v>255</v>
      </c>
      <c r="E62" s="12">
        <v>255</v>
      </c>
      <c r="F62" s="13">
        <v>224</v>
      </c>
      <c r="G62" s="7">
        <v>60</v>
      </c>
      <c r="H62" s="163">
        <v>1</v>
      </c>
      <c r="I62" s="164">
        <v>0.94</v>
      </c>
      <c r="J62" s="163">
        <v>0.12</v>
      </c>
      <c r="K62" s="164">
        <v>1</v>
      </c>
      <c r="L62" s="18">
        <f>G62/360*255</f>
        <v>42.5</v>
      </c>
      <c r="M62" s="19">
        <f>H62*255</f>
        <v>255</v>
      </c>
      <c r="N62" s="20">
        <f>I62*255</f>
        <v>239.7</v>
      </c>
      <c r="O62" s="301" t="str">
        <f>myRGBLuminance(D62,E62,F62,235)</f>
        <v/>
      </c>
      <c r="P62" s="302" t="str">
        <f>myRGBLuminance(D62,E62,F62,180)</f>
        <v/>
      </c>
      <c r="Q62" s="303" t="str">
        <f>myRGBLuminance(D62,E62,F62,85)</f>
        <v/>
      </c>
    </row>
    <row r="63" spans="1:17" ht="16.5" thickTop="1" thickBot="1" x14ac:dyDescent="0.3">
      <c r="A63" s="63" t="str">
        <f>myRGB(D63,E63,F63)</f>
        <v/>
      </c>
      <c r="B63" s="5" t="s">
        <v>85</v>
      </c>
      <c r="C63" s="6" t="s">
        <v>86</v>
      </c>
      <c r="D63" s="11">
        <v>255</v>
      </c>
      <c r="E63" s="12">
        <v>255</v>
      </c>
      <c r="F63" s="13">
        <v>240</v>
      </c>
      <c r="G63" s="7">
        <v>60</v>
      </c>
      <c r="H63" s="163">
        <v>1</v>
      </c>
      <c r="I63" s="164">
        <v>0.97</v>
      </c>
      <c r="J63" s="163">
        <v>0.06</v>
      </c>
      <c r="K63" s="164">
        <v>1</v>
      </c>
      <c r="L63" s="18">
        <f>G63/360*255</f>
        <v>42.5</v>
      </c>
      <c r="M63" s="19">
        <f>H63*255</f>
        <v>255</v>
      </c>
      <c r="N63" s="20">
        <f>I63*255</f>
        <v>247.35</v>
      </c>
      <c r="O63" s="301" t="str">
        <f>myRGBLuminance(D63,E63,F63,235)</f>
        <v/>
      </c>
      <c r="P63" s="302" t="str">
        <f>myRGBLuminance(D63,E63,F63,180)</f>
        <v/>
      </c>
      <c r="Q63" s="303" t="str">
        <f>myRGBLuminance(D63,E63,F63,85)</f>
        <v/>
      </c>
    </row>
    <row r="64" spans="1:17" ht="16.5" thickTop="1" thickBot="1" x14ac:dyDescent="0.3">
      <c r="A64" s="76" t="str">
        <f>myRGB(D64,E64,F64)</f>
        <v/>
      </c>
      <c r="B64" s="5" t="s">
        <v>274</v>
      </c>
      <c r="C64" s="6" t="s">
        <v>133</v>
      </c>
      <c r="D64" s="11">
        <v>107</v>
      </c>
      <c r="E64" s="12">
        <v>142</v>
      </c>
      <c r="F64" s="13">
        <v>35</v>
      </c>
      <c r="G64" s="7">
        <v>80</v>
      </c>
      <c r="H64" s="163">
        <v>0.61</v>
      </c>
      <c r="I64" s="164">
        <v>0.35</v>
      </c>
      <c r="J64" s="163">
        <v>0.75</v>
      </c>
      <c r="K64" s="164">
        <v>0.56000000000000005</v>
      </c>
      <c r="L64" s="18">
        <f>G64/360*255</f>
        <v>56.666666666666664</v>
      </c>
      <c r="M64" s="19">
        <f>H64*255</f>
        <v>155.54999999999998</v>
      </c>
      <c r="N64" s="20">
        <f>I64*255</f>
        <v>89.25</v>
      </c>
      <c r="O64" s="304" t="str">
        <f>myRGBLuminance(D64,E64,F64,235)</f>
        <v/>
      </c>
      <c r="P64" s="305" t="str">
        <f>myRGBLuminance(D64,E64,F64,180)</f>
        <v/>
      </c>
      <c r="Q64" s="306" t="str">
        <f>myRGBLuminance(D64,E64,F64,85)</f>
        <v/>
      </c>
    </row>
    <row r="65" spans="1:17" ht="16.5" thickTop="1" thickBot="1" x14ac:dyDescent="0.3">
      <c r="A65" s="160" t="str">
        <f>myRGB(D65,E65,F65)</f>
        <v/>
      </c>
      <c r="B65" s="5" t="s">
        <v>295</v>
      </c>
      <c r="C65" s="6" t="s">
        <v>196</v>
      </c>
      <c r="D65" s="11">
        <v>154</v>
      </c>
      <c r="E65" s="12">
        <v>205</v>
      </c>
      <c r="F65" s="13">
        <v>50</v>
      </c>
      <c r="G65" s="7">
        <v>80</v>
      </c>
      <c r="H65" s="163">
        <v>0.61</v>
      </c>
      <c r="I65" s="164">
        <v>0.5</v>
      </c>
      <c r="J65" s="163">
        <v>0.76</v>
      </c>
      <c r="K65" s="164">
        <v>0.8</v>
      </c>
      <c r="L65" s="18">
        <f>G65/360*255</f>
        <v>56.666666666666664</v>
      </c>
      <c r="M65" s="19">
        <f>H65*255</f>
        <v>155.54999999999998</v>
      </c>
      <c r="N65" s="20">
        <f>I65*255</f>
        <v>127.5</v>
      </c>
      <c r="O65" s="304" t="str">
        <f>myRGBLuminance(D65,E65,F65,235)</f>
        <v/>
      </c>
      <c r="P65" s="307" t="str">
        <f>myRGBLuminance(D65,E65,F65,180)</f>
        <v/>
      </c>
      <c r="Q65" s="308" t="str">
        <f>myRGBLuminance(D65,E65,F65,85)</f>
        <v/>
      </c>
    </row>
    <row r="66" spans="1:17" ht="16.5" thickTop="1" thickBot="1" x14ac:dyDescent="0.3">
      <c r="A66" s="106" t="str">
        <f>myRGB(D66,E66,F66)</f>
        <v/>
      </c>
      <c r="B66" s="5" t="s">
        <v>223</v>
      </c>
      <c r="C66" s="6" t="s">
        <v>45</v>
      </c>
      <c r="D66" s="11">
        <v>85</v>
      </c>
      <c r="E66" s="12">
        <v>107</v>
      </c>
      <c r="F66" s="13">
        <v>47</v>
      </c>
      <c r="G66" s="7">
        <v>82</v>
      </c>
      <c r="H66" s="163">
        <v>0.39</v>
      </c>
      <c r="I66" s="164">
        <v>0.3</v>
      </c>
      <c r="J66" s="163">
        <v>0.56000000000000005</v>
      </c>
      <c r="K66" s="164">
        <v>0.42</v>
      </c>
      <c r="L66" s="18">
        <f>G66/360*255</f>
        <v>58.083333333333336</v>
      </c>
      <c r="M66" s="19">
        <f>H66*255</f>
        <v>99.45</v>
      </c>
      <c r="N66" s="20">
        <f>I66*255</f>
        <v>76.5</v>
      </c>
      <c r="O66" s="309" t="str">
        <f>myRGBLuminance(D66,E66,F66,235)</f>
        <v/>
      </c>
      <c r="P66" s="310" t="str">
        <f>myRGBLuminance(D66,E66,F66,180)</f>
        <v/>
      </c>
      <c r="Q66" s="311" t="str">
        <f>myRGBLuminance(D66,E66,F66,85)</f>
        <v/>
      </c>
    </row>
    <row r="67" spans="1:17" ht="16.5" thickTop="1" thickBot="1" x14ac:dyDescent="0.3">
      <c r="A67" s="88" t="str">
        <f>myRGB(D67,E67,F67)</f>
        <v/>
      </c>
      <c r="B67" s="5" t="s">
        <v>240</v>
      </c>
      <c r="C67" s="6" t="s">
        <v>78</v>
      </c>
      <c r="D67" s="11">
        <v>173</v>
      </c>
      <c r="E67" s="12">
        <v>255</v>
      </c>
      <c r="F67" s="13">
        <v>47</v>
      </c>
      <c r="G67" s="7">
        <v>84</v>
      </c>
      <c r="H67" s="163">
        <v>1</v>
      </c>
      <c r="I67" s="164">
        <v>0.59</v>
      </c>
      <c r="J67" s="163">
        <v>0.82</v>
      </c>
      <c r="K67" s="164">
        <v>1</v>
      </c>
      <c r="L67" s="18">
        <f>G67/360*255</f>
        <v>59.5</v>
      </c>
      <c r="M67" s="19">
        <f>H67*255</f>
        <v>255</v>
      </c>
      <c r="N67" s="20">
        <f>I67*255</f>
        <v>150.44999999999999</v>
      </c>
      <c r="O67" s="312" t="str">
        <f>myRGBLuminance(D67,E67,F67,235)</f>
        <v/>
      </c>
      <c r="P67" s="313" t="str">
        <f>myRGBLuminance(D67,E67,F67,180)</f>
        <v/>
      </c>
      <c r="Q67" s="314" t="str">
        <f>myRGBLuminance(D67,E67,F67,85)</f>
        <v/>
      </c>
    </row>
    <row r="68" spans="1:17" ht="16.5" thickTop="1" thickBot="1" x14ac:dyDescent="0.3">
      <c r="A68" s="125" t="str">
        <f>myRGB(D68,E68,F68)</f>
        <v/>
      </c>
      <c r="B68" s="5" t="s">
        <v>244</v>
      </c>
      <c r="C68" s="6" t="s">
        <v>92</v>
      </c>
      <c r="D68" s="11">
        <v>124</v>
      </c>
      <c r="E68" s="12">
        <v>252</v>
      </c>
      <c r="F68" s="13">
        <v>0</v>
      </c>
      <c r="G68" s="7">
        <v>90</v>
      </c>
      <c r="H68" s="163">
        <v>1</v>
      </c>
      <c r="I68" s="164">
        <v>0.49</v>
      </c>
      <c r="J68" s="163">
        <v>1</v>
      </c>
      <c r="K68" s="164">
        <v>0.99</v>
      </c>
      <c r="L68" s="18">
        <f>G68/360*255</f>
        <v>63.75</v>
      </c>
      <c r="M68" s="19">
        <f>H68*255</f>
        <v>255</v>
      </c>
      <c r="N68" s="20">
        <f>I68*255</f>
        <v>124.95</v>
      </c>
      <c r="O68" s="315" t="str">
        <f>myRGBLuminance(D68,E68,F68,235)</f>
        <v/>
      </c>
      <c r="P68" s="316" t="str">
        <f>myRGBLuminance(D68,E68,F68,180)</f>
        <v/>
      </c>
      <c r="Q68" s="317" t="str">
        <f>myRGBLuminance(D68,E68,F68,85)</f>
        <v/>
      </c>
    </row>
    <row r="69" spans="1:17" ht="16.5" thickTop="1" thickBot="1" x14ac:dyDescent="0.3">
      <c r="A69" s="122" t="str">
        <f>myRGB(D69,E69,F69)</f>
        <v/>
      </c>
      <c r="B69" s="5" t="s">
        <v>27</v>
      </c>
      <c r="C69" s="6" t="s">
        <v>28</v>
      </c>
      <c r="D69" s="11">
        <v>127</v>
      </c>
      <c r="E69" s="12">
        <v>255</v>
      </c>
      <c r="F69" s="13">
        <v>0</v>
      </c>
      <c r="G69" s="7">
        <v>90</v>
      </c>
      <c r="H69" s="163">
        <v>1</v>
      </c>
      <c r="I69" s="164">
        <v>0.5</v>
      </c>
      <c r="J69" s="163">
        <v>1</v>
      </c>
      <c r="K69" s="164">
        <v>1</v>
      </c>
      <c r="L69" s="18">
        <f>G69/360*255</f>
        <v>63.75</v>
      </c>
      <c r="M69" s="19">
        <f>H69*255</f>
        <v>255</v>
      </c>
      <c r="N69" s="20">
        <f>I69*255</f>
        <v>127.5</v>
      </c>
      <c r="O69" s="315" t="str">
        <f>myRGBLuminance(D69,E69,F69,235)</f>
        <v/>
      </c>
      <c r="P69" s="316" t="str">
        <f>myRGBLuminance(D69,E69,F69,180)</f>
        <v/>
      </c>
      <c r="Q69" s="318" t="str">
        <f>myRGBLuminance(D69,E69,F69,85)</f>
        <v/>
      </c>
    </row>
    <row r="70" spans="1:17" ht="16.5" thickTop="1" thickBot="1" x14ac:dyDescent="0.3">
      <c r="A70" s="26" t="str">
        <f>myRGB(D70,E70,F70)</f>
        <v/>
      </c>
      <c r="B70" s="165" t="s">
        <v>228</v>
      </c>
      <c r="C70" s="6" t="s">
        <v>50</v>
      </c>
      <c r="D70" s="11">
        <v>143</v>
      </c>
      <c r="E70" s="12">
        <v>188</v>
      </c>
      <c r="F70" s="13">
        <v>143</v>
      </c>
      <c r="G70" s="7">
        <v>120</v>
      </c>
      <c r="H70" s="163">
        <v>0.25</v>
      </c>
      <c r="I70" s="164">
        <v>0.65</v>
      </c>
      <c r="J70" s="163">
        <v>0.24</v>
      </c>
      <c r="K70" s="164">
        <v>0.74</v>
      </c>
      <c r="L70" s="18">
        <f>G70/360*255</f>
        <v>85</v>
      </c>
      <c r="M70" s="19">
        <f>H70*255</f>
        <v>63.75</v>
      </c>
      <c r="N70" s="20">
        <f>I70*255</f>
        <v>165.75</v>
      </c>
      <c r="O70" s="319" t="str">
        <f>myRGBLuminance(D70,E70,F70,235)</f>
        <v/>
      </c>
      <c r="P70" s="320" t="str">
        <f>myRGBLuminance(D70,E70,F70,180)</f>
        <v/>
      </c>
      <c r="Q70" s="321" t="str">
        <f>myRGBLuminance(D70,E70,F70,85)</f>
        <v/>
      </c>
    </row>
    <row r="71" spans="1:17" ht="16.5" thickTop="1" thickBot="1" x14ac:dyDescent="0.3">
      <c r="A71" s="108" t="str">
        <f>myRGB(D71,E71,F71)</f>
        <v/>
      </c>
      <c r="B71" s="5" t="s">
        <v>238</v>
      </c>
      <c r="C71" s="6" t="s">
        <v>62</v>
      </c>
      <c r="D71" s="11">
        <v>34</v>
      </c>
      <c r="E71" s="12">
        <v>139</v>
      </c>
      <c r="F71" s="13">
        <v>34</v>
      </c>
      <c r="G71" s="7">
        <v>120</v>
      </c>
      <c r="H71" s="163">
        <v>0.61</v>
      </c>
      <c r="I71" s="164">
        <v>0.34</v>
      </c>
      <c r="J71" s="163">
        <v>0.76</v>
      </c>
      <c r="K71" s="164">
        <v>0.55000000000000004</v>
      </c>
      <c r="L71" s="18">
        <f>G71/360*255</f>
        <v>85</v>
      </c>
      <c r="M71" s="19">
        <f>H71*255</f>
        <v>155.54999999999998</v>
      </c>
      <c r="N71" s="20">
        <f>I71*255</f>
        <v>86.7</v>
      </c>
      <c r="O71" s="322" t="str">
        <f>myRGBLuminance(D71,E71,F71,235)</f>
        <v/>
      </c>
      <c r="P71" s="323" t="str">
        <f>myRGBLuminance(D71,E71,F71,180)</f>
        <v/>
      </c>
      <c r="Q71" s="324" t="str">
        <f>myRGBLuminance(D71,E71,F71,85)</f>
        <v/>
      </c>
    </row>
    <row r="72" spans="1:17" ht="16.5" thickTop="1" thickBot="1" x14ac:dyDescent="0.3">
      <c r="A72" s="82" t="str">
        <f>myRGB(D72,E72,F72)</f>
        <v/>
      </c>
      <c r="B72" s="5" t="s">
        <v>259</v>
      </c>
      <c r="C72" s="6" t="s">
        <v>108</v>
      </c>
      <c r="D72" s="11">
        <v>50</v>
      </c>
      <c r="E72" s="12">
        <v>205</v>
      </c>
      <c r="F72" s="13">
        <v>50</v>
      </c>
      <c r="G72" s="7">
        <v>120</v>
      </c>
      <c r="H72" s="163">
        <v>0.61</v>
      </c>
      <c r="I72" s="164">
        <v>0.5</v>
      </c>
      <c r="J72" s="163">
        <v>0.76</v>
      </c>
      <c r="K72" s="164">
        <v>0.8</v>
      </c>
      <c r="L72" s="18">
        <f>G72/360*255</f>
        <v>85</v>
      </c>
      <c r="M72" s="19">
        <f>H72*255</f>
        <v>155.54999999999998</v>
      </c>
      <c r="N72" s="20">
        <f>I72*255</f>
        <v>127.5</v>
      </c>
      <c r="O72" s="322" t="str">
        <f>myRGBLuminance(D72,E72,F72,235)</f>
        <v/>
      </c>
      <c r="P72" s="323" t="str">
        <f>myRGBLuminance(D72,E72,F72,180)</f>
        <v/>
      </c>
      <c r="Q72" s="324" t="str">
        <f>myRGBLuminance(D72,E72,F72,85)</f>
        <v/>
      </c>
    </row>
    <row r="73" spans="1:17" ht="16.5" thickTop="1" thickBot="1" x14ac:dyDescent="0.3">
      <c r="A73" s="79" t="str">
        <f>myRGB(D73,E73,F73)</f>
        <v/>
      </c>
      <c r="B73" s="5" t="s">
        <v>251</v>
      </c>
      <c r="C73" s="6" t="s">
        <v>99</v>
      </c>
      <c r="D73" s="11">
        <v>144</v>
      </c>
      <c r="E73" s="12">
        <v>238</v>
      </c>
      <c r="F73" s="13">
        <v>144</v>
      </c>
      <c r="G73" s="7">
        <v>120</v>
      </c>
      <c r="H73" s="163">
        <v>0.73</v>
      </c>
      <c r="I73" s="164">
        <v>0.75</v>
      </c>
      <c r="J73" s="163">
        <v>0.39</v>
      </c>
      <c r="K73" s="164">
        <v>0.93</v>
      </c>
      <c r="L73" s="18">
        <f>G73/360*255</f>
        <v>85</v>
      </c>
      <c r="M73" s="19">
        <f>H73*255</f>
        <v>186.15</v>
      </c>
      <c r="N73" s="20">
        <f>I73*255</f>
        <v>191.25</v>
      </c>
      <c r="O73" s="325" t="str">
        <f>myRGBLuminance(D73,E73,F73,235)</f>
        <v/>
      </c>
      <c r="P73" s="326" t="str">
        <f>myRGBLuminance(D73,E73,F73,180)</f>
        <v/>
      </c>
      <c r="Q73" s="327" t="str">
        <f>myRGBLuminance(D73,E73,F73,85)</f>
        <v/>
      </c>
    </row>
    <row r="74" spans="1:17" ht="16.5" thickTop="1" thickBot="1" x14ac:dyDescent="0.3">
      <c r="A74" s="52" t="str">
        <f>myRGB(D74,E74,F74)</f>
        <v/>
      </c>
      <c r="B74" s="5" t="s">
        <v>277</v>
      </c>
      <c r="C74" s="6" t="s">
        <v>140</v>
      </c>
      <c r="D74" s="11">
        <v>152</v>
      </c>
      <c r="E74" s="12">
        <v>251</v>
      </c>
      <c r="F74" s="13">
        <v>152</v>
      </c>
      <c r="G74" s="7">
        <v>120</v>
      </c>
      <c r="H74" s="163">
        <v>0.93</v>
      </c>
      <c r="I74" s="164">
        <v>0.79</v>
      </c>
      <c r="J74" s="163">
        <v>0.39</v>
      </c>
      <c r="K74" s="164">
        <v>0.98</v>
      </c>
      <c r="L74" s="18">
        <f>G74/360*255</f>
        <v>85</v>
      </c>
      <c r="M74" s="19">
        <f>H74*255</f>
        <v>237.15</v>
      </c>
      <c r="N74" s="20">
        <f>I74*255</f>
        <v>201.45000000000002</v>
      </c>
      <c r="O74" s="328" t="str">
        <f>myRGBLuminance(D74,E74,F74,235)</f>
        <v/>
      </c>
      <c r="P74" s="329" t="str">
        <f>myRGBLuminance(D74,E74,F74,180)</f>
        <v/>
      </c>
      <c r="Q74" s="330" t="str">
        <f>myRGBLuminance(D74,E74,F74,85)</f>
        <v/>
      </c>
    </row>
    <row r="75" spans="1:17" ht="16.5" thickTop="1" thickBot="1" x14ac:dyDescent="0.3">
      <c r="A75" s="25" t="str">
        <f>myRGB(D75,E75,F75)</f>
        <v/>
      </c>
      <c r="B75" s="5" t="s">
        <v>220</v>
      </c>
      <c r="C75" s="6" t="s">
        <v>42</v>
      </c>
      <c r="D75" s="11">
        <v>0</v>
      </c>
      <c r="E75" s="12">
        <v>100</v>
      </c>
      <c r="F75" s="13">
        <v>0</v>
      </c>
      <c r="G75" s="7">
        <v>120</v>
      </c>
      <c r="H75" s="163">
        <v>1</v>
      </c>
      <c r="I75" s="164">
        <v>0.2</v>
      </c>
      <c r="J75" s="163">
        <v>1</v>
      </c>
      <c r="K75" s="164">
        <v>0.39</v>
      </c>
      <c r="L75" s="18">
        <f>G75/360*255</f>
        <v>85</v>
      </c>
      <c r="M75" s="19">
        <f>H75*255</f>
        <v>255</v>
      </c>
      <c r="N75" s="20">
        <f>I75*255</f>
        <v>51</v>
      </c>
      <c r="O75" s="331" t="str">
        <f>myRGBLuminance(D75,E75,F75,235)</f>
        <v/>
      </c>
      <c r="P75" s="332" t="str">
        <f>myRGBLuminance(D75,E75,F75,180)</f>
        <v/>
      </c>
      <c r="Q75" s="333" t="str">
        <f>myRGBLuminance(D75,E75,F75,85)</f>
        <v/>
      </c>
    </row>
    <row r="76" spans="1:17" ht="16.5" thickTop="1" thickBot="1" x14ac:dyDescent="0.3">
      <c r="A76" s="85" t="str">
        <f>myRGB(D76,E76,F76)</f>
        <v/>
      </c>
      <c r="B76" s="166" t="s">
        <v>299</v>
      </c>
      <c r="C76" s="6" t="s">
        <v>77</v>
      </c>
      <c r="D76" s="11">
        <v>0</v>
      </c>
      <c r="E76" s="12">
        <v>128</v>
      </c>
      <c r="F76" s="13">
        <v>0</v>
      </c>
      <c r="G76" s="7">
        <v>120</v>
      </c>
      <c r="H76" s="163">
        <v>1</v>
      </c>
      <c r="I76" s="164">
        <v>0.25</v>
      </c>
      <c r="J76" s="163">
        <v>1</v>
      </c>
      <c r="K76" s="164">
        <v>0.5</v>
      </c>
      <c r="L76" s="18">
        <f>G76/360*255</f>
        <v>85</v>
      </c>
      <c r="M76" s="19">
        <f>H76*255</f>
        <v>255</v>
      </c>
      <c r="N76" s="20">
        <f>I76*255</f>
        <v>63.75</v>
      </c>
      <c r="O76" s="331" t="str">
        <f>myRGBLuminance(D76,E76,F76,235)</f>
        <v/>
      </c>
      <c r="P76" s="332" t="str">
        <f>myRGBLuminance(D76,E76,F76,180)</f>
        <v/>
      </c>
      <c r="Q76" s="333" t="str">
        <f>myRGBLuminance(D76,E76,F76,85)</f>
        <v/>
      </c>
    </row>
    <row r="77" spans="1:17" ht="16.5" thickTop="1" thickBot="1" x14ac:dyDescent="0.3">
      <c r="A77" s="109" t="str">
        <f>myRGB(D77,E77,F77)</f>
        <v/>
      </c>
      <c r="B77" s="5" t="s">
        <v>2</v>
      </c>
      <c r="C77" s="6" t="s">
        <v>76</v>
      </c>
      <c r="D77" s="11">
        <v>0</v>
      </c>
      <c r="E77" s="12">
        <v>255</v>
      </c>
      <c r="F77" s="13">
        <v>0</v>
      </c>
      <c r="G77" s="7">
        <v>120</v>
      </c>
      <c r="H77" s="163">
        <v>1</v>
      </c>
      <c r="I77" s="164">
        <v>0.5</v>
      </c>
      <c r="J77" s="163">
        <v>1</v>
      </c>
      <c r="K77" s="164">
        <v>1</v>
      </c>
      <c r="L77" s="18">
        <f>G77/360*255</f>
        <v>85</v>
      </c>
      <c r="M77" s="19">
        <f>H77*255</f>
        <v>255</v>
      </c>
      <c r="N77" s="20">
        <f>I77*255</f>
        <v>127.5</v>
      </c>
      <c r="O77" s="331" t="str">
        <f>myRGBLuminance(D77,E77,F77,235)</f>
        <v/>
      </c>
      <c r="P77" s="332" t="str">
        <f>myRGBLuminance(D77,E77,F77,180)</f>
        <v/>
      </c>
      <c r="Q77" s="333" t="str">
        <f>myRGBLuminance(D77,E77,F77,85)</f>
        <v/>
      </c>
    </row>
    <row r="78" spans="1:17" ht="16.5" thickTop="1" thickBot="1" x14ac:dyDescent="0.3">
      <c r="A78" s="109" t="str">
        <f>myRGB(D78,E78,F78)</f>
        <v/>
      </c>
      <c r="B78" s="5" t="s">
        <v>107</v>
      </c>
      <c r="C78" s="6" t="s">
        <v>76</v>
      </c>
      <c r="D78" s="11">
        <v>0</v>
      </c>
      <c r="E78" s="12">
        <v>255</v>
      </c>
      <c r="F78" s="13">
        <v>0</v>
      </c>
      <c r="G78" s="7">
        <v>120</v>
      </c>
      <c r="H78" s="163">
        <v>1</v>
      </c>
      <c r="I78" s="164">
        <v>0.5</v>
      </c>
      <c r="J78" s="163">
        <v>1</v>
      </c>
      <c r="K78" s="164">
        <v>1</v>
      </c>
      <c r="L78" s="18">
        <f>G78/360*255</f>
        <v>85</v>
      </c>
      <c r="M78" s="19">
        <f>H78*255</f>
        <v>255</v>
      </c>
      <c r="N78" s="20">
        <f>I78*255</f>
        <v>127.5</v>
      </c>
      <c r="O78" s="331" t="str">
        <f>myRGBLuminance(D78,E78,F78,235)</f>
        <v/>
      </c>
      <c r="P78" s="332" t="str">
        <f>myRGBLuminance(D78,E78,F78,180)</f>
        <v/>
      </c>
      <c r="Q78" s="333" t="str">
        <f>myRGBLuminance(D78,E78,F78,85)</f>
        <v/>
      </c>
    </row>
    <row r="79" spans="1:17" ht="16.5" thickTop="1" thickBot="1" x14ac:dyDescent="0.3">
      <c r="A79" s="101" t="str">
        <f>myRGB(D79,E79,F79)</f>
        <v/>
      </c>
      <c r="B79" s="5" t="s">
        <v>79</v>
      </c>
      <c r="C79" s="6" t="s">
        <v>80</v>
      </c>
      <c r="D79" s="11">
        <v>240</v>
      </c>
      <c r="E79" s="12">
        <v>255</v>
      </c>
      <c r="F79" s="13">
        <v>240</v>
      </c>
      <c r="G79" s="7">
        <v>120</v>
      </c>
      <c r="H79" s="163">
        <v>1</v>
      </c>
      <c r="I79" s="164">
        <v>0.97</v>
      </c>
      <c r="J79" s="163">
        <v>0.06</v>
      </c>
      <c r="K79" s="164">
        <v>1</v>
      </c>
      <c r="L79" s="18">
        <f>G79/360*255</f>
        <v>85</v>
      </c>
      <c r="M79" s="19">
        <f>H79*255</f>
        <v>255</v>
      </c>
      <c r="N79" s="20">
        <f>I79*255</f>
        <v>247.35</v>
      </c>
      <c r="O79" s="331" t="str">
        <f>myRGBLuminance(D79,E79,F79,235)</f>
        <v/>
      </c>
      <c r="P79" s="332" t="str">
        <f>myRGBLuminance(D79,E79,F79,180)</f>
        <v/>
      </c>
      <c r="Q79" s="333" t="str">
        <f>myRGBLuminance(D79,E79,F79,85)</f>
        <v/>
      </c>
    </row>
    <row r="80" spans="1:17" ht="16.5" thickTop="1" thickBot="1" x14ac:dyDescent="0.3">
      <c r="A80" s="117" t="str">
        <f>myRGB(D80,E80,F80)</f>
        <v/>
      </c>
      <c r="B80" s="5" t="s">
        <v>287</v>
      </c>
      <c r="C80" s="6" t="s">
        <v>163</v>
      </c>
      <c r="D80" s="11">
        <v>46</v>
      </c>
      <c r="E80" s="12">
        <v>139</v>
      </c>
      <c r="F80" s="13">
        <v>87</v>
      </c>
      <c r="G80" s="7">
        <v>146</v>
      </c>
      <c r="H80" s="163">
        <v>0.5</v>
      </c>
      <c r="I80" s="164">
        <v>0.36</v>
      </c>
      <c r="J80" s="163">
        <v>0.67</v>
      </c>
      <c r="K80" s="164">
        <v>0.55000000000000004</v>
      </c>
      <c r="L80" s="18">
        <f>G80/360*255</f>
        <v>103.41666666666667</v>
      </c>
      <c r="M80" s="19">
        <f>H80*255</f>
        <v>127.5</v>
      </c>
      <c r="N80" s="20">
        <f>I80*255</f>
        <v>91.8</v>
      </c>
      <c r="O80" s="334" t="str">
        <f>myRGBLuminance(D80,E80,F80,235)</f>
        <v/>
      </c>
      <c r="P80" s="335" t="str">
        <f>myRGBLuminance(D80,E80,F80,180)</f>
        <v/>
      </c>
      <c r="Q80" s="336" t="str">
        <f>myRGBLuminance(D80,E80,F80,85)</f>
        <v/>
      </c>
    </row>
    <row r="81" spans="1:17" ht="16.5" thickTop="1" thickBot="1" x14ac:dyDescent="0.3">
      <c r="A81" s="153" t="str">
        <f>myRGB(D81,E81,F81)</f>
        <v/>
      </c>
      <c r="B81" s="5" t="s">
        <v>264</v>
      </c>
      <c r="C81" s="6" t="s">
        <v>118</v>
      </c>
      <c r="D81" s="11">
        <v>60</v>
      </c>
      <c r="E81" s="12">
        <v>179</v>
      </c>
      <c r="F81" s="13">
        <v>113</v>
      </c>
      <c r="G81" s="7">
        <v>147</v>
      </c>
      <c r="H81" s="163">
        <v>0.5</v>
      </c>
      <c r="I81" s="164">
        <v>0.47</v>
      </c>
      <c r="J81" s="163">
        <v>0.66</v>
      </c>
      <c r="K81" s="164">
        <v>0.7</v>
      </c>
      <c r="L81" s="18">
        <f>G81/360*255</f>
        <v>104.125</v>
      </c>
      <c r="M81" s="19">
        <f>H81*255</f>
        <v>127.5</v>
      </c>
      <c r="N81" s="20">
        <f>I81*255</f>
        <v>119.85</v>
      </c>
      <c r="O81" s="334" t="str">
        <f>myRGBLuminance(D81,E81,F81,235)</f>
        <v/>
      </c>
      <c r="P81" s="337" t="str">
        <f>myRGBLuminance(D81,E81,F81,180)</f>
        <v/>
      </c>
      <c r="Q81" s="338" t="str">
        <f>myRGBLuminance(D81,E81,F81,85)</f>
        <v/>
      </c>
    </row>
    <row r="82" spans="1:17" ht="16.5" thickTop="1" thickBot="1" x14ac:dyDescent="0.3">
      <c r="A82" s="492" t="str">
        <f>myRGB(D82,E82,F82)</f>
        <v/>
      </c>
      <c r="B82" s="491" t="s">
        <v>305</v>
      </c>
      <c r="C82" s="6" t="s">
        <v>306</v>
      </c>
      <c r="D82" s="11">
        <v>33</v>
      </c>
      <c r="E82" s="12">
        <v>115</v>
      </c>
      <c r="F82" s="13">
        <v>70</v>
      </c>
      <c r="G82" s="7">
        <v>147</v>
      </c>
      <c r="H82" s="163">
        <v>0.71</v>
      </c>
      <c r="I82" s="164">
        <v>0.45</v>
      </c>
      <c r="J82" s="163"/>
      <c r="K82" s="164"/>
      <c r="L82" s="18">
        <v>104</v>
      </c>
      <c r="M82" s="19">
        <v>141</v>
      </c>
      <c r="N82" s="20">
        <v>74</v>
      </c>
      <c r="O82" s="493" t="str">
        <f>myRGBLuminance(D82,E82,F82,235)</f>
        <v/>
      </c>
      <c r="P82" s="495" t="str">
        <f>myRGBLuminance(D82,E82,F82,180)</f>
        <v/>
      </c>
      <c r="Q82" s="494" t="str">
        <f>myRGBLuminance(D82,E82,F82,85)</f>
        <v/>
      </c>
    </row>
    <row r="83" spans="1:17" ht="16.5" thickTop="1" thickBot="1" x14ac:dyDescent="0.3">
      <c r="A83" s="118" t="str">
        <f>myRGB(D83,E83,F83)</f>
        <v/>
      </c>
      <c r="B83" s="5" t="s">
        <v>291</v>
      </c>
      <c r="C83" s="6" t="s">
        <v>175</v>
      </c>
      <c r="D83" s="11">
        <v>0</v>
      </c>
      <c r="E83" s="12">
        <v>255</v>
      </c>
      <c r="F83" s="13">
        <v>127</v>
      </c>
      <c r="G83" s="7">
        <v>150</v>
      </c>
      <c r="H83" s="163">
        <v>1</v>
      </c>
      <c r="I83" s="164">
        <v>0.5</v>
      </c>
      <c r="J83" s="163">
        <v>1</v>
      </c>
      <c r="K83" s="164">
        <v>1</v>
      </c>
      <c r="L83" s="18">
        <f>G83/360*255</f>
        <v>106.25</v>
      </c>
      <c r="M83" s="19">
        <f>H83*255</f>
        <v>255</v>
      </c>
      <c r="N83" s="20">
        <f>I83*255</f>
        <v>127.5</v>
      </c>
      <c r="O83" s="339" t="str">
        <f>myRGBLuminance(D83,E83,F83,235)</f>
        <v/>
      </c>
      <c r="P83" s="340" t="str">
        <f>myRGBLuminance(D83,E83,F83,180)</f>
        <v/>
      </c>
      <c r="Q83" s="341" t="str">
        <f>myRGBLuminance(D83,E83,F83,85)</f>
        <v/>
      </c>
    </row>
    <row r="84" spans="1:17" ht="16.5" thickTop="1" thickBot="1" x14ac:dyDescent="0.3">
      <c r="A84" s="89" t="str">
        <f>myRGB(D84,E84,F84)</f>
        <v/>
      </c>
      <c r="B84" s="5" t="s">
        <v>270</v>
      </c>
      <c r="C84" s="6" t="s">
        <v>124</v>
      </c>
      <c r="D84" s="11">
        <v>245</v>
      </c>
      <c r="E84" s="12">
        <v>255</v>
      </c>
      <c r="F84" s="13">
        <v>250</v>
      </c>
      <c r="G84" s="7">
        <v>150</v>
      </c>
      <c r="H84" s="163">
        <v>1</v>
      </c>
      <c r="I84" s="164">
        <v>0.98</v>
      </c>
      <c r="J84" s="163">
        <v>0.04</v>
      </c>
      <c r="K84" s="164">
        <v>1</v>
      </c>
      <c r="L84" s="18">
        <f>G84/360*255</f>
        <v>106.25</v>
      </c>
      <c r="M84" s="19">
        <f>H84*255</f>
        <v>255</v>
      </c>
      <c r="N84" s="20">
        <f>I84*255</f>
        <v>249.9</v>
      </c>
      <c r="O84" s="339" t="str">
        <f>myRGBLuminance(D84,E84,F84,235)</f>
        <v/>
      </c>
      <c r="P84" s="340" t="str">
        <f>myRGBLuminance(D84,E84,F84,180)</f>
        <v/>
      </c>
      <c r="Q84" s="341" t="str">
        <f>myRGBLuminance(D84,E84,F84,85)</f>
        <v/>
      </c>
    </row>
    <row r="85" spans="1:17" ht="16.5" thickTop="1" thickBot="1" x14ac:dyDescent="0.3">
      <c r="A85" s="50" t="str">
        <f>myRGB(D85,E85,F85)</f>
        <v/>
      </c>
      <c r="B85" s="5" t="s">
        <v>266</v>
      </c>
      <c r="C85" s="6" t="s">
        <v>120</v>
      </c>
      <c r="D85" s="11">
        <v>0</v>
      </c>
      <c r="E85" s="12">
        <v>250</v>
      </c>
      <c r="F85" s="13">
        <v>154</v>
      </c>
      <c r="G85" s="7">
        <v>157</v>
      </c>
      <c r="H85" s="163">
        <v>1</v>
      </c>
      <c r="I85" s="164">
        <v>0.49</v>
      </c>
      <c r="J85" s="163">
        <v>1</v>
      </c>
      <c r="K85" s="164">
        <v>0.98</v>
      </c>
      <c r="L85" s="18">
        <f>G85/360*255</f>
        <v>111.20833333333333</v>
      </c>
      <c r="M85" s="19">
        <f>H85*255</f>
        <v>255</v>
      </c>
      <c r="N85" s="20">
        <f>I85*255</f>
        <v>124.95</v>
      </c>
      <c r="O85" s="342" t="str">
        <f>myRGBLuminance(D85,E85,F85,235)</f>
        <v/>
      </c>
      <c r="P85" s="343" t="str">
        <f>myRGBLuminance(D85,E85,F85,180)</f>
        <v/>
      </c>
      <c r="Q85" s="344" t="str">
        <f>myRGBLuminance(D85,E85,F85,85)</f>
        <v/>
      </c>
    </row>
    <row r="86" spans="1:17" ht="16.5" thickTop="1" thickBot="1" x14ac:dyDescent="0.3">
      <c r="A86" s="113" t="str">
        <f>myRGB(D86,E86,F86)</f>
        <v/>
      </c>
      <c r="B86" s="5" t="s">
        <v>260</v>
      </c>
      <c r="C86" s="6" t="s">
        <v>114</v>
      </c>
      <c r="D86" s="11">
        <v>102</v>
      </c>
      <c r="E86" s="12">
        <v>205</v>
      </c>
      <c r="F86" s="13">
        <v>170</v>
      </c>
      <c r="G86" s="7">
        <v>160</v>
      </c>
      <c r="H86" s="163">
        <v>0.51</v>
      </c>
      <c r="I86" s="164">
        <v>0.6</v>
      </c>
      <c r="J86" s="163">
        <v>0.5</v>
      </c>
      <c r="K86" s="164">
        <v>0.8</v>
      </c>
      <c r="L86" s="18">
        <f>G86/360*255</f>
        <v>113.33333333333333</v>
      </c>
      <c r="M86" s="19">
        <f>H86*255</f>
        <v>130.05000000000001</v>
      </c>
      <c r="N86" s="20">
        <f>I86*255</f>
        <v>153</v>
      </c>
      <c r="O86" s="345" t="str">
        <f>myRGBLuminance(D86,E86,F86,235)</f>
        <v/>
      </c>
      <c r="P86" s="346" t="str">
        <f>myRGBLuminance(D86,E86,F86,180)</f>
        <v/>
      </c>
      <c r="Q86" s="347" t="str">
        <f>myRGBLuminance(D86,E86,F86,85)</f>
        <v/>
      </c>
    </row>
    <row r="87" spans="1:17" ht="16.5" thickTop="1" thickBot="1" x14ac:dyDescent="0.3">
      <c r="A87" s="94" t="str">
        <f>myRGB(D87,E87,F87)</f>
        <v/>
      </c>
      <c r="B87" s="5" t="s">
        <v>9</v>
      </c>
      <c r="C87" s="6" t="s">
        <v>10</v>
      </c>
      <c r="D87" s="11">
        <v>127</v>
      </c>
      <c r="E87" s="12">
        <v>255</v>
      </c>
      <c r="F87" s="13">
        <v>212</v>
      </c>
      <c r="G87" s="7">
        <v>160</v>
      </c>
      <c r="H87" s="163">
        <v>1</v>
      </c>
      <c r="I87" s="164">
        <v>0.75</v>
      </c>
      <c r="J87" s="163">
        <v>0.5</v>
      </c>
      <c r="K87" s="164">
        <v>1</v>
      </c>
      <c r="L87" s="18">
        <f>G87/360*255</f>
        <v>113.33333333333333</v>
      </c>
      <c r="M87" s="19">
        <f>H87*255</f>
        <v>255</v>
      </c>
      <c r="N87" s="20">
        <f>I87*255</f>
        <v>191.25</v>
      </c>
      <c r="O87" s="348" t="str">
        <f>myRGBLuminance(D87,E87,F87,235)</f>
        <v/>
      </c>
      <c r="P87" s="349" t="str">
        <f>myRGBLuminance(D87,E87,F87,180)</f>
        <v/>
      </c>
      <c r="Q87" s="350" t="str">
        <f>myRGBLuminance(D87,E87,F87,85)</f>
        <v/>
      </c>
    </row>
    <row r="88" spans="1:17" ht="16.5" thickTop="1" thickBot="1" x14ac:dyDescent="0.3">
      <c r="A88" s="56" t="str">
        <f>myRGB(D88,E88,F88)</f>
        <v/>
      </c>
      <c r="B88" s="5" t="s">
        <v>185</v>
      </c>
      <c r="C88" s="6" t="s">
        <v>186</v>
      </c>
      <c r="D88" s="11">
        <v>64</v>
      </c>
      <c r="E88" s="12">
        <v>224</v>
      </c>
      <c r="F88" s="13">
        <v>208</v>
      </c>
      <c r="G88" s="7">
        <v>174</v>
      </c>
      <c r="H88" s="163">
        <v>0.72</v>
      </c>
      <c r="I88" s="164">
        <v>0.56999999999999995</v>
      </c>
      <c r="J88" s="163">
        <v>0.71</v>
      </c>
      <c r="K88" s="164">
        <v>0.88</v>
      </c>
      <c r="L88" s="18">
        <f>G88/360*255</f>
        <v>123.25</v>
      </c>
      <c r="M88" s="19">
        <f>H88*255</f>
        <v>183.6</v>
      </c>
      <c r="N88" s="20">
        <f>I88*255</f>
        <v>145.35</v>
      </c>
      <c r="O88" s="351" t="str">
        <f>myRGBLuminance(D88,E88,F88,235)</f>
        <v/>
      </c>
      <c r="P88" s="352" t="str">
        <f>myRGBLuminance(D88,E88,F88,180)</f>
        <v/>
      </c>
      <c r="Q88" s="353" t="str">
        <f>myRGBLuminance(D88,E88,F88,85)</f>
        <v/>
      </c>
    </row>
    <row r="89" spans="1:17" ht="16.5" thickTop="1" thickBot="1" x14ac:dyDescent="0.3">
      <c r="A89" s="31" t="str">
        <f>myRGB(D89,E89,F89)</f>
        <v/>
      </c>
      <c r="B89" s="5" t="s">
        <v>254</v>
      </c>
      <c r="C89" s="6" t="s">
        <v>102</v>
      </c>
      <c r="D89" s="11">
        <v>32</v>
      </c>
      <c r="E89" s="12">
        <v>178</v>
      </c>
      <c r="F89" s="13">
        <v>170</v>
      </c>
      <c r="G89" s="7">
        <v>177</v>
      </c>
      <c r="H89" s="163">
        <v>0.7</v>
      </c>
      <c r="I89" s="164">
        <v>0.41</v>
      </c>
      <c r="J89" s="163">
        <v>0.82</v>
      </c>
      <c r="K89" s="164">
        <v>0.7</v>
      </c>
      <c r="L89" s="18">
        <f>G89/360*255</f>
        <v>125.375</v>
      </c>
      <c r="M89" s="19">
        <f>H89*255</f>
        <v>178.5</v>
      </c>
      <c r="N89" s="20">
        <f>I89*255</f>
        <v>104.55</v>
      </c>
      <c r="O89" s="351" t="str">
        <f>myRGBLuminance(D89,E89,F89,235)</f>
        <v/>
      </c>
      <c r="P89" s="354" t="str">
        <f>myRGBLuminance(D89,E89,F89,180)</f>
        <v/>
      </c>
      <c r="Q89" s="355" t="str">
        <f>myRGBLuminance(D89,E89,F89,85)</f>
        <v/>
      </c>
    </row>
    <row r="90" spans="1:17" ht="16.5" thickTop="1" thickBot="1" x14ac:dyDescent="0.3">
      <c r="A90" s="67" t="str">
        <f>myRGB(D90,E90,F90)</f>
        <v/>
      </c>
      <c r="B90" s="5" t="s">
        <v>267</v>
      </c>
      <c r="C90" s="6" t="s">
        <v>121</v>
      </c>
      <c r="D90" s="11">
        <v>72</v>
      </c>
      <c r="E90" s="12">
        <v>209</v>
      </c>
      <c r="F90" s="13">
        <v>204</v>
      </c>
      <c r="G90" s="7">
        <v>178</v>
      </c>
      <c r="H90" s="163">
        <v>0.6</v>
      </c>
      <c r="I90" s="164">
        <v>0.55000000000000004</v>
      </c>
      <c r="J90" s="163">
        <v>0.66</v>
      </c>
      <c r="K90" s="164">
        <v>0.82</v>
      </c>
      <c r="L90" s="18">
        <f>G90/360*255</f>
        <v>126.08333333333334</v>
      </c>
      <c r="M90" s="19">
        <f>H90*255</f>
        <v>153</v>
      </c>
      <c r="N90" s="20">
        <f>I90*255</f>
        <v>140.25</v>
      </c>
      <c r="O90" s="356" t="str">
        <f>myRGBLuminance(D90,E90,F90,235)</f>
        <v/>
      </c>
      <c r="P90" s="357" t="str">
        <f>myRGBLuminance(D90,E90,F90,180)</f>
        <v/>
      </c>
      <c r="Q90" s="358" t="str">
        <f>myRGBLuminance(D90,E90,F90,85)</f>
        <v/>
      </c>
    </row>
    <row r="91" spans="1:17" ht="16.5" thickTop="1" thickBot="1" x14ac:dyDescent="0.3">
      <c r="A91" s="60" t="str">
        <f>myRGB(D91,E91,F91)</f>
        <v/>
      </c>
      <c r="B91" s="5" t="s">
        <v>230</v>
      </c>
      <c r="C91" s="6" t="s">
        <v>52</v>
      </c>
      <c r="D91" s="11">
        <v>47</v>
      </c>
      <c r="E91" s="12">
        <v>79</v>
      </c>
      <c r="F91" s="13">
        <v>79</v>
      </c>
      <c r="G91" s="7">
        <v>180</v>
      </c>
      <c r="H91" s="163">
        <v>0.25</v>
      </c>
      <c r="I91" s="164">
        <v>0.25</v>
      </c>
      <c r="J91" s="163">
        <v>0.41</v>
      </c>
      <c r="K91" s="164">
        <v>0.31</v>
      </c>
      <c r="L91" s="18">
        <f>G91/360*255</f>
        <v>127.5</v>
      </c>
      <c r="M91" s="19">
        <f>H91*255</f>
        <v>63.75</v>
      </c>
      <c r="N91" s="20">
        <f>I91*255</f>
        <v>63.75</v>
      </c>
      <c r="O91" s="359" t="str">
        <f>myRGBLuminance(D91,E91,F91,235)</f>
        <v/>
      </c>
      <c r="P91" s="360" t="str">
        <f>myRGBLuminance(D91,E91,F91,180)</f>
        <v/>
      </c>
      <c r="Q91" s="361" t="str">
        <f>myRGBLuminance(D91,E91,F91,85)</f>
        <v/>
      </c>
    </row>
    <row r="92" spans="1:17" ht="16.5" thickTop="1" thickBot="1" x14ac:dyDescent="0.3">
      <c r="A92" s="69" t="str">
        <f>myRGB(D92,E92,F92)</f>
        <v/>
      </c>
      <c r="B92" s="5" t="s">
        <v>278</v>
      </c>
      <c r="C92" s="6" t="s">
        <v>141</v>
      </c>
      <c r="D92" s="11">
        <v>175</v>
      </c>
      <c r="E92" s="12">
        <v>238</v>
      </c>
      <c r="F92" s="13">
        <v>238</v>
      </c>
      <c r="G92" s="7">
        <v>180</v>
      </c>
      <c r="H92" s="163">
        <v>0.65</v>
      </c>
      <c r="I92" s="164">
        <v>0.81</v>
      </c>
      <c r="J92" s="163">
        <v>0.26</v>
      </c>
      <c r="K92" s="164">
        <v>0.93</v>
      </c>
      <c r="L92" s="18">
        <f>G92/360*255</f>
        <v>127.5</v>
      </c>
      <c r="M92" s="19">
        <f>H92*255</f>
        <v>165.75</v>
      </c>
      <c r="N92" s="20">
        <f>I92*255</f>
        <v>206.55</v>
      </c>
      <c r="O92" s="362" t="str">
        <f>myRGBLuminance(D92,E92,F92,235)</f>
        <v/>
      </c>
      <c r="P92" s="363" t="str">
        <f>myRGBLuminance(D92,E92,F92,180)</f>
        <v/>
      </c>
      <c r="Q92" s="364" t="str">
        <f>myRGBLuminance(D92,E92,F92,85)</f>
        <v/>
      </c>
    </row>
    <row r="93" spans="1:17" ht="16.5" thickTop="1" thickBot="1" x14ac:dyDescent="0.3">
      <c r="A93" s="103" t="str">
        <f>myRGB(D93,E93,F93)</f>
        <v/>
      </c>
      <c r="B93" s="5" t="s">
        <v>179</v>
      </c>
      <c r="C93" s="6" t="s">
        <v>180</v>
      </c>
      <c r="D93" s="11">
        <v>0</v>
      </c>
      <c r="E93" s="12">
        <v>128</v>
      </c>
      <c r="F93" s="13">
        <v>128</v>
      </c>
      <c r="G93" s="7">
        <v>180</v>
      </c>
      <c r="H93" s="163">
        <v>1</v>
      </c>
      <c r="I93" s="164">
        <v>0.25</v>
      </c>
      <c r="J93" s="163">
        <v>1</v>
      </c>
      <c r="K93" s="164">
        <v>0.5</v>
      </c>
      <c r="L93" s="18">
        <f>G93/360*255</f>
        <v>127.5</v>
      </c>
      <c r="M93" s="19">
        <f>H93*255</f>
        <v>255</v>
      </c>
      <c r="N93" s="20">
        <f>I93*255</f>
        <v>63.75</v>
      </c>
      <c r="O93" s="365" t="str">
        <f>myRGBLuminance(D93,E93,F93,235)</f>
        <v/>
      </c>
      <c r="P93" s="366" t="str">
        <f>myRGBLuminance(D93,E93,F93,180)</f>
        <v/>
      </c>
      <c r="Q93" s="367" t="str">
        <f>myRGBLuminance(D93,E93,F93,85)</f>
        <v/>
      </c>
    </row>
    <row r="94" spans="1:17" ht="16.5" thickTop="1" thickBot="1" x14ac:dyDescent="0.3">
      <c r="A94" s="97" t="str">
        <f>myRGB(D94,E94,F94)</f>
        <v/>
      </c>
      <c r="B94" s="5" t="s">
        <v>217</v>
      </c>
      <c r="C94" s="6" t="s">
        <v>39</v>
      </c>
      <c r="D94" s="11">
        <v>0</v>
      </c>
      <c r="E94" s="12">
        <v>139</v>
      </c>
      <c r="F94" s="13">
        <v>139</v>
      </c>
      <c r="G94" s="7">
        <v>180</v>
      </c>
      <c r="H94" s="163">
        <v>1</v>
      </c>
      <c r="I94" s="164">
        <v>0.27</v>
      </c>
      <c r="J94" s="163">
        <v>1</v>
      </c>
      <c r="K94" s="164">
        <v>0.55000000000000004</v>
      </c>
      <c r="L94" s="18">
        <f>G94/360*255</f>
        <v>127.5</v>
      </c>
      <c r="M94" s="19">
        <f>H94*255</f>
        <v>255</v>
      </c>
      <c r="N94" s="20">
        <f>I94*255</f>
        <v>68.850000000000009</v>
      </c>
      <c r="O94" s="365" t="str">
        <f>myRGBLuminance(D94,E94,F94,235)</f>
        <v/>
      </c>
      <c r="P94" s="366" t="str">
        <f>myRGBLuminance(D94,E94,F94,180)</f>
        <v/>
      </c>
      <c r="Q94" s="367" t="str">
        <f>myRGBLuminance(D94,E94,F94,85)</f>
        <v/>
      </c>
    </row>
    <row r="95" spans="1:17" ht="16.5" thickTop="1" thickBot="1" x14ac:dyDescent="0.3">
      <c r="A95" s="84" t="str">
        <f>myRGB(D95,E95,F95)</f>
        <v/>
      </c>
      <c r="B95" s="5" t="s">
        <v>6</v>
      </c>
      <c r="C95" s="6" t="s">
        <v>7</v>
      </c>
      <c r="D95" s="11">
        <v>0</v>
      </c>
      <c r="E95" s="12">
        <v>255</v>
      </c>
      <c r="F95" s="13">
        <v>255</v>
      </c>
      <c r="G95" s="7">
        <v>180</v>
      </c>
      <c r="H95" s="163">
        <v>1</v>
      </c>
      <c r="I95" s="164">
        <v>0.5</v>
      </c>
      <c r="J95" s="163">
        <v>1</v>
      </c>
      <c r="K95" s="164">
        <v>1</v>
      </c>
      <c r="L95" s="18">
        <f>G95/360*255</f>
        <v>127.5</v>
      </c>
      <c r="M95" s="19">
        <f>H95*255</f>
        <v>255</v>
      </c>
      <c r="N95" s="20">
        <f>I95*255</f>
        <v>127.5</v>
      </c>
      <c r="O95" s="365" t="str">
        <f>myRGBLuminance(D95,E95,F95,235)</f>
        <v/>
      </c>
      <c r="P95" s="366" t="str">
        <f>myRGBLuminance(D95,E95,F95,180)</f>
        <v/>
      </c>
      <c r="Q95" s="367" t="str">
        <f>myRGBLuminance(D95,E95,F95,85)</f>
        <v/>
      </c>
    </row>
    <row r="96" spans="1:17" ht="16.5" thickTop="1" thickBot="1" x14ac:dyDescent="0.3">
      <c r="A96" s="84" t="str">
        <f>myRGB(D96,E96,F96)</f>
        <v/>
      </c>
      <c r="B96" s="5" t="s">
        <v>8</v>
      </c>
      <c r="C96" s="6" t="s">
        <v>7</v>
      </c>
      <c r="D96" s="11">
        <v>0</v>
      </c>
      <c r="E96" s="12">
        <v>255</v>
      </c>
      <c r="F96" s="13">
        <v>255</v>
      </c>
      <c r="G96" s="7">
        <v>180</v>
      </c>
      <c r="H96" s="163">
        <v>1</v>
      </c>
      <c r="I96" s="164">
        <v>0.5</v>
      </c>
      <c r="J96" s="163">
        <v>1</v>
      </c>
      <c r="K96" s="164">
        <v>1</v>
      </c>
      <c r="L96" s="18">
        <f>G96/360*255</f>
        <v>127.5</v>
      </c>
      <c r="M96" s="19">
        <f>H96*255</f>
        <v>255</v>
      </c>
      <c r="N96" s="20">
        <f>I96*255</f>
        <v>127.5</v>
      </c>
      <c r="O96" s="365" t="str">
        <f>myRGBLuminance(D96,E96,F96,235)</f>
        <v/>
      </c>
      <c r="P96" s="366" t="str">
        <f>myRGBLuminance(D96,E96,F96,180)</f>
        <v/>
      </c>
      <c r="Q96" s="367" t="str">
        <f>myRGBLuminance(D96,E96,F96,85)</f>
        <v/>
      </c>
    </row>
    <row r="97" spans="1:17" ht="16.5" thickTop="1" thickBot="1" x14ac:dyDescent="0.3">
      <c r="A97" s="64" t="str">
        <f>myRGB(D97,E97,F97)</f>
        <v/>
      </c>
      <c r="B97" s="5" t="s">
        <v>248</v>
      </c>
      <c r="C97" s="6" t="s">
        <v>96</v>
      </c>
      <c r="D97" s="11">
        <v>224</v>
      </c>
      <c r="E97" s="12">
        <v>255</v>
      </c>
      <c r="F97" s="13">
        <v>255</v>
      </c>
      <c r="G97" s="7">
        <v>180</v>
      </c>
      <c r="H97" s="163">
        <v>1</v>
      </c>
      <c r="I97" s="164">
        <v>0.94</v>
      </c>
      <c r="J97" s="163">
        <v>0.12</v>
      </c>
      <c r="K97" s="164">
        <v>1</v>
      </c>
      <c r="L97" s="18">
        <f>G97/360*255</f>
        <v>127.5</v>
      </c>
      <c r="M97" s="19">
        <f>H97*255</f>
        <v>255</v>
      </c>
      <c r="N97" s="20">
        <f>I97*255</f>
        <v>239.7</v>
      </c>
      <c r="O97" s="365" t="str">
        <f>myRGBLuminance(D97,E97,F97,235)</f>
        <v/>
      </c>
      <c r="P97" s="366" t="str">
        <f>myRGBLuminance(D97,E97,F97,180)</f>
        <v/>
      </c>
      <c r="Q97" s="367" t="str">
        <f>myRGBLuminance(D97,E97,F97,85)</f>
        <v/>
      </c>
    </row>
    <row r="98" spans="1:17" ht="16.5" thickTop="1" thickBot="1" x14ac:dyDescent="0.3">
      <c r="A98" s="104" t="str">
        <f>myRGB(D98,E98,F98)</f>
        <v/>
      </c>
      <c r="B98" s="5" t="s">
        <v>11</v>
      </c>
      <c r="C98" s="6" t="s">
        <v>12</v>
      </c>
      <c r="D98" s="11">
        <v>240</v>
      </c>
      <c r="E98" s="12">
        <v>255</v>
      </c>
      <c r="F98" s="13">
        <v>255</v>
      </c>
      <c r="G98" s="7">
        <v>180</v>
      </c>
      <c r="H98" s="163">
        <v>1</v>
      </c>
      <c r="I98" s="164">
        <v>0.97</v>
      </c>
      <c r="J98" s="163">
        <v>0.06</v>
      </c>
      <c r="K98" s="164">
        <v>1</v>
      </c>
      <c r="L98" s="18">
        <f>G98/360*255</f>
        <v>127.5</v>
      </c>
      <c r="M98" s="19">
        <f>H98*255</f>
        <v>255</v>
      </c>
      <c r="N98" s="20">
        <f>I98*255</f>
        <v>247.35</v>
      </c>
      <c r="O98" s="365" t="str">
        <f>myRGBLuminance(D98,E98,F98,235)</f>
        <v/>
      </c>
      <c r="P98" s="366" t="str">
        <f>myRGBLuminance(D98,E98,F98,180)</f>
        <v/>
      </c>
      <c r="Q98" s="367" t="str">
        <f>myRGBLuminance(D98,E98,F98,85)</f>
        <v/>
      </c>
    </row>
    <row r="99" spans="1:17" ht="16.5" thickTop="1" thickBot="1" x14ac:dyDescent="0.3">
      <c r="A99" s="107" t="str">
        <f>myRGB(D99,E99,F99)</f>
        <v/>
      </c>
      <c r="B99" s="5" t="s">
        <v>231</v>
      </c>
      <c r="C99" s="6" t="s">
        <v>53</v>
      </c>
      <c r="D99" s="11">
        <v>0</v>
      </c>
      <c r="E99" s="12">
        <v>206</v>
      </c>
      <c r="F99" s="13">
        <v>209</v>
      </c>
      <c r="G99" s="7">
        <v>181</v>
      </c>
      <c r="H99" s="163">
        <v>1</v>
      </c>
      <c r="I99" s="164">
        <v>0.41</v>
      </c>
      <c r="J99" s="163">
        <v>1</v>
      </c>
      <c r="K99" s="164">
        <v>0.82</v>
      </c>
      <c r="L99" s="18">
        <f>G99/360*255</f>
        <v>128.20833333333334</v>
      </c>
      <c r="M99" s="19">
        <f>H99*255</f>
        <v>255</v>
      </c>
      <c r="N99" s="20">
        <f>I99*255</f>
        <v>104.55</v>
      </c>
      <c r="O99" s="368" t="str">
        <f>myRGBLuminance(D99,E99,F99,235)</f>
        <v/>
      </c>
      <c r="P99" s="369" t="str">
        <f>myRGBLuminance(D99,E99,F99,180)</f>
        <v/>
      </c>
      <c r="Q99" s="370" t="str">
        <f>myRGBLuminance(D99,E99,F99,85)</f>
        <v/>
      </c>
    </row>
    <row r="100" spans="1:17" ht="16.5" thickTop="1" thickBot="1" x14ac:dyDescent="0.3">
      <c r="A100" s="128" t="str">
        <f>myRGB(D100,E100,F100)</f>
        <v/>
      </c>
      <c r="B100" s="5" t="s">
        <v>214</v>
      </c>
      <c r="C100" s="6" t="s">
        <v>26</v>
      </c>
      <c r="D100" s="11">
        <v>95</v>
      </c>
      <c r="E100" s="12">
        <v>158</v>
      </c>
      <c r="F100" s="13">
        <v>160</v>
      </c>
      <c r="G100" s="7">
        <v>182</v>
      </c>
      <c r="H100" s="163">
        <v>0.26</v>
      </c>
      <c r="I100" s="164">
        <v>0.5</v>
      </c>
      <c r="J100" s="163">
        <v>0.41</v>
      </c>
      <c r="K100" s="164">
        <v>0.63</v>
      </c>
      <c r="L100" s="18">
        <f>G100/360*255</f>
        <v>128.91666666666666</v>
      </c>
      <c r="M100" s="19">
        <f>H100*255</f>
        <v>66.3</v>
      </c>
      <c r="N100" s="20">
        <f>I100*255</f>
        <v>127.5</v>
      </c>
      <c r="O100" s="359" t="str">
        <f>myRGBLuminance(D100,E100,F100,235)</f>
        <v/>
      </c>
      <c r="P100" s="371" t="str">
        <f>myRGBLuminance(D100,E100,F100,180)</f>
        <v/>
      </c>
      <c r="Q100" s="372" t="str">
        <f>myRGBLuminance(D100,E100,F100,85)</f>
        <v/>
      </c>
    </row>
    <row r="101" spans="1:17" ht="16.5" thickTop="1" thickBot="1" x14ac:dyDescent="0.3">
      <c r="A101" s="53" t="str">
        <f>myRGB(D101,E101,F101)</f>
        <v/>
      </c>
      <c r="B101" s="5" t="s">
        <v>282</v>
      </c>
      <c r="C101" s="6" t="s">
        <v>151</v>
      </c>
      <c r="D101" s="11">
        <v>176</v>
      </c>
      <c r="E101" s="12">
        <v>224</v>
      </c>
      <c r="F101" s="13">
        <v>230</v>
      </c>
      <c r="G101" s="7">
        <v>187</v>
      </c>
      <c r="H101" s="163">
        <v>0.52</v>
      </c>
      <c r="I101" s="164">
        <v>0.8</v>
      </c>
      <c r="J101" s="163">
        <v>0.23</v>
      </c>
      <c r="K101" s="164">
        <v>0.9</v>
      </c>
      <c r="L101" s="18">
        <f>G101/360*255</f>
        <v>132.45833333333334</v>
      </c>
      <c r="M101" s="19">
        <f>H101*255</f>
        <v>132.6</v>
      </c>
      <c r="N101" s="20">
        <f>I101*255</f>
        <v>204</v>
      </c>
      <c r="O101" s="373" t="str">
        <f>myRGBLuminance(D101,E101,F101,235)</f>
        <v/>
      </c>
      <c r="P101" s="374" t="str">
        <f>myRGBLuminance(D101,E101,F101,180)</f>
        <v/>
      </c>
      <c r="Q101" s="375" t="str">
        <f>myRGBLuminance(D101,E101,F101,85)</f>
        <v/>
      </c>
    </row>
    <row r="102" spans="1:17" ht="16.5" thickTop="1" thickBot="1" x14ac:dyDescent="0.3">
      <c r="A102" s="30" t="str">
        <f>myRGB(D102,E102,F102)</f>
        <v/>
      </c>
      <c r="B102" s="5" t="s">
        <v>246</v>
      </c>
      <c r="C102" s="6" t="s">
        <v>94</v>
      </c>
      <c r="D102" s="11">
        <v>173</v>
      </c>
      <c r="E102" s="12">
        <v>216</v>
      </c>
      <c r="F102" s="13">
        <v>230</v>
      </c>
      <c r="G102" s="7">
        <v>195</v>
      </c>
      <c r="H102" s="163">
        <v>0.53</v>
      </c>
      <c r="I102" s="164">
        <v>0.79</v>
      </c>
      <c r="J102" s="163">
        <v>0.25</v>
      </c>
      <c r="K102" s="164">
        <v>0.9</v>
      </c>
      <c r="L102" s="18">
        <f>G102/360*255</f>
        <v>138.125</v>
      </c>
      <c r="M102" s="19">
        <f>H102*255</f>
        <v>135.15</v>
      </c>
      <c r="N102" s="20">
        <f>I102*255</f>
        <v>201.45000000000002</v>
      </c>
      <c r="O102" s="376" t="str">
        <f>myRGBLuminance(D102,E102,F102,235)</f>
        <v/>
      </c>
      <c r="P102" s="377" t="str">
        <f>myRGBLuminance(D102,E102,F102,180)</f>
        <v/>
      </c>
      <c r="Q102" s="378" t="str">
        <f>myRGBLuminance(D102,E102,F102,85)</f>
        <v/>
      </c>
    </row>
    <row r="103" spans="1:17" ht="16.5" thickTop="1" thickBot="1" x14ac:dyDescent="0.3">
      <c r="A103" s="124" t="str">
        <f>myRGB(D103,E103,F103)</f>
        <v/>
      </c>
      <c r="B103" s="5" t="s">
        <v>234</v>
      </c>
      <c r="C103" s="6" t="s">
        <v>56</v>
      </c>
      <c r="D103" s="11">
        <v>0</v>
      </c>
      <c r="E103" s="12">
        <v>191</v>
      </c>
      <c r="F103" s="13">
        <v>255</v>
      </c>
      <c r="G103" s="7">
        <v>195</v>
      </c>
      <c r="H103" s="163">
        <v>1</v>
      </c>
      <c r="I103" s="164">
        <v>0.5</v>
      </c>
      <c r="J103" s="163">
        <v>1</v>
      </c>
      <c r="K103" s="164">
        <v>1</v>
      </c>
      <c r="L103" s="18">
        <f>G103/360*255</f>
        <v>138.125</v>
      </c>
      <c r="M103" s="19">
        <f>H103*255</f>
        <v>255</v>
      </c>
      <c r="N103" s="20">
        <f>I103*255</f>
        <v>127.5</v>
      </c>
      <c r="O103" s="379" t="str">
        <f>myRGBLuminance(D103,E103,F103,235)</f>
        <v/>
      </c>
      <c r="P103" s="380" t="str">
        <f>myRGBLuminance(D103,E103,F103,180)</f>
        <v/>
      </c>
      <c r="Q103" s="381" t="str">
        <f>myRGBLuminance(D103,E103,F103,85)</f>
        <v/>
      </c>
    </row>
    <row r="104" spans="1:17" ht="16.5" thickTop="1" thickBot="1" x14ac:dyDescent="0.3">
      <c r="A104" s="158" t="str">
        <f>myRGB(D104,E104,F104)</f>
        <v/>
      </c>
      <c r="B104" s="5" t="s">
        <v>288</v>
      </c>
      <c r="C104" s="6" t="s">
        <v>170</v>
      </c>
      <c r="D104" s="11">
        <v>135</v>
      </c>
      <c r="E104" s="12">
        <v>206</v>
      </c>
      <c r="F104" s="13">
        <v>235</v>
      </c>
      <c r="G104" s="7">
        <v>197</v>
      </c>
      <c r="H104" s="163">
        <v>0.71</v>
      </c>
      <c r="I104" s="164">
        <v>0.73</v>
      </c>
      <c r="J104" s="163">
        <v>0.43</v>
      </c>
      <c r="K104" s="164">
        <v>0.92</v>
      </c>
      <c r="L104" s="18">
        <f>G104/360*255</f>
        <v>139.54166666666669</v>
      </c>
      <c r="M104" s="19">
        <f>H104*255</f>
        <v>181.04999999999998</v>
      </c>
      <c r="N104" s="20">
        <f>I104*255</f>
        <v>186.15</v>
      </c>
      <c r="O104" s="382" t="str">
        <f>myRGBLuminance(D104,E104,F104,235)</f>
        <v/>
      </c>
      <c r="P104" s="383" t="str">
        <f>myRGBLuminance(D104,E104,F104,180)</f>
        <v/>
      </c>
      <c r="Q104" s="384" t="str">
        <f>myRGBLuminance(D104,E104,F104,85)</f>
        <v/>
      </c>
    </row>
    <row r="105" spans="1:17" ht="16.5" thickTop="1" thickBot="1" x14ac:dyDescent="0.3">
      <c r="A105" s="48" t="str">
        <f>myRGB(D105,E105,F105)</f>
        <v/>
      </c>
      <c r="B105" s="5" t="s">
        <v>255</v>
      </c>
      <c r="C105" s="6" t="s">
        <v>103</v>
      </c>
      <c r="D105" s="11">
        <v>135</v>
      </c>
      <c r="E105" s="12">
        <v>206</v>
      </c>
      <c r="F105" s="13">
        <v>250</v>
      </c>
      <c r="G105" s="7">
        <v>203</v>
      </c>
      <c r="H105" s="163">
        <v>0.92</v>
      </c>
      <c r="I105" s="164">
        <v>0.76</v>
      </c>
      <c r="J105" s="163">
        <v>0.46</v>
      </c>
      <c r="K105" s="164">
        <v>0.98</v>
      </c>
      <c r="L105" s="18">
        <f>G105/360*255</f>
        <v>143.79166666666666</v>
      </c>
      <c r="M105" s="19">
        <f>H105*255</f>
        <v>234.60000000000002</v>
      </c>
      <c r="N105" s="20">
        <f>I105*255</f>
        <v>193.8</v>
      </c>
      <c r="O105" s="385" t="str">
        <f>myRGBLuminance(D105,E105,F105,235)</f>
        <v/>
      </c>
      <c r="P105" s="386" t="str">
        <f>myRGBLuminance(D105,E105,F105,180)</f>
        <v/>
      </c>
      <c r="Q105" s="387" t="str">
        <f>myRGBLuminance(D105,E105,F105,85)</f>
        <v/>
      </c>
    </row>
    <row r="106" spans="1:17" ht="16.5" thickTop="1" thickBot="1" x14ac:dyDescent="0.3">
      <c r="A106" s="86" t="str">
        <f>myRGB(D106,E106,F106)</f>
        <v/>
      </c>
      <c r="B106" s="5" t="s">
        <v>292</v>
      </c>
      <c r="C106" s="6" t="s">
        <v>176</v>
      </c>
      <c r="D106" s="11">
        <v>70</v>
      </c>
      <c r="E106" s="12">
        <v>130</v>
      </c>
      <c r="F106" s="13">
        <v>180</v>
      </c>
      <c r="G106" s="7">
        <v>207</v>
      </c>
      <c r="H106" s="163">
        <v>0.44</v>
      </c>
      <c r="I106" s="164">
        <v>0.49</v>
      </c>
      <c r="J106" s="163">
        <v>0.61</v>
      </c>
      <c r="K106" s="164">
        <v>0.71</v>
      </c>
      <c r="L106" s="18">
        <f>G106/360*255</f>
        <v>146.625</v>
      </c>
      <c r="M106" s="19">
        <f>H106*255</f>
        <v>112.2</v>
      </c>
      <c r="N106" s="20">
        <f>I106*255</f>
        <v>124.95</v>
      </c>
      <c r="O106" s="388" t="str">
        <f>myRGBLuminance(D106,E106,F106,235)</f>
        <v/>
      </c>
      <c r="P106" s="389" t="str">
        <f>myRGBLuminance(D106,E106,F106,180)</f>
        <v/>
      </c>
      <c r="Q106" s="390" t="str">
        <f>myRGBLuminance(D106,E106,F106,85)</f>
        <v/>
      </c>
    </row>
    <row r="107" spans="1:17" ht="16.5" thickTop="1" thickBot="1" x14ac:dyDescent="0.3">
      <c r="A107" s="21" t="str">
        <f>myRGB(D107,E107,F107)</f>
        <v/>
      </c>
      <c r="B107" s="5" t="s">
        <v>210</v>
      </c>
      <c r="C107" s="6" t="s">
        <v>4</v>
      </c>
      <c r="D107" s="11">
        <v>240</v>
      </c>
      <c r="E107" s="12">
        <v>248</v>
      </c>
      <c r="F107" s="13">
        <v>255</v>
      </c>
      <c r="G107" s="7">
        <v>208</v>
      </c>
      <c r="H107" s="163">
        <v>1</v>
      </c>
      <c r="I107" s="164">
        <v>0.97</v>
      </c>
      <c r="J107" s="163">
        <v>0.06</v>
      </c>
      <c r="K107" s="164">
        <v>1</v>
      </c>
      <c r="L107" s="18">
        <f>G107/360*255</f>
        <v>147.33333333333331</v>
      </c>
      <c r="M107" s="19">
        <f>H107*255</f>
        <v>255</v>
      </c>
      <c r="N107" s="20">
        <f>I107*255</f>
        <v>247.35</v>
      </c>
      <c r="O107" s="391" t="str">
        <f>myRGBLuminance(D107,E107,F107,235)</f>
        <v/>
      </c>
      <c r="P107" s="392" t="str">
        <f>myRGBLuminance(D107,E107,F107,180)</f>
        <v/>
      </c>
      <c r="Q107" s="393" t="str">
        <f>myRGBLuminance(D107,E107,F107,85)</f>
        <v/>
      </c>
    </row>
    <row r="108" spans="1:17" ht="16.5" thickTop="1" thickBot="1" x14ac:dyDescent="0.3">
      <c r="A108" s="55" t="str">
        <f>myRGB(D108,E108,F108)</f>
        <v/>
      </c>
      <c r="B108" s="5" t="s">
        <v>290</v>
      </c>
      <c r="C108" s="6" t="s">
        <v>172</v>
      </c>
      <c r="D108" s="11">
        <v>112</v>
      </c>
      <c r="E108" s="12">
        <v>128</v>
      </c>
      <c r="F108" s="13">
        <v>144</v>
      </c>
      <c r="G108" s="7">
        <v>210</v>
      </c>
      <c r="H108" s="163">
        <v>0.13</v>
      </c>
      <c r="I108" s="164">
        <v>0.5</v>
      </c>
      <c r="J108" s="163">
        <v>0.22</v>
      </c>
      <c r="K108" s="164">
        <v>0.56000000000000005</v>
      </c>
      <c r="L108" s="18">
        <f>G108/360*255</f>
        <v>148.75</v>
      </c>
      <c r="M108" s="19">
        <f>H108*255</f>
        <v>33.15</v>
      </c>
      <c r="N108" s="20">
        <f>I108*255</f>
        <v>127.5</v>
      </c>
      <c r="O108" s="394" t="str">
        <f>myRGBLuminance(D108,E108,F108,235)</f>
        <v/>
      </c>
      <c r="P108" s="395" t="str">
        <f>myRGBLuminance(D108,E108,F108,180)</f>
        <v/>
      </c>
      <c r="Q108" s="396" t="str">
        <f>myRGBLuminance(D108,E108,F108,85)</f>
        <v/>
      </c>
    </row>
    <row r="109" spans="1:17" ht="16.5" thickTop="1" thickBot="1" x14ac:dyDescent="0.3">
      <c r="A109" s="65" t="str">
        <f>myRGB(D109,E109,F109)</f>
        <v/>
      </c>
      <c r="B109" s="5" t="s">
        <v>256</v>
      </c>
      <c r="C109" s="6" t="s">
        <v>104</v>
      </c>
      <c r="D109" s="11">
        <v>119</v>
      </c>
      <c r="E109" s="12">
        <v>136</v>
      </c>
      <c r="F109" s="13">
        <v>153</v>
      </c>
      <c r="G109" s="7">
        <v>210</v>
      </c>
      <c r="H109" s="163">
        <v>0.14000000000000001</v>
      </c>
      <c r="I109" s="164">
        <v>0.53</v>
      </c>
      <c r="J109" s="163">
        <v>0.22</v>
      </c>
      <c r="K109" s="164">
        <v>0.6</v>
      </c>
      <c r="L109" s="18">
        <f>G109/360*255</f>
        <v>148.75</v>
      </c>
      <c r="M109" s="19">
        <f>H109*255</f>
        <v>35.700000000000003</v>
      </c>
      <c r="N109" s="20">
        <f>I109*255</f>
        <v>135.15</v>
      </c>
      <c r="O109" s="394" t="str">
        <f>myRGBLuminance(D109,E109,F109,235)</f>
        <v/>
      </c>
      <c r="P109" s="397" t="str">
        <f>myRGBLuminance(D109,E109,F109,180)</f>
        <v/>
      </c>
      <c r="Q109" s="398" t="str">
        <f>myRGBLuminance(D109,E109,F109,85)</f>
        <v/>
      </c>
    </row>
    <row r="110" spans="1:17" ht="16.5" thickTop="1" thickBot="1" x14ac:dyDescent="0.3">
      <c r="A110" s="27" t="str">
        <f>myRGB(D110,E110,F110)</f>
        <v/>
      </c>
      <c r="B110" s="5" t="s">
        <v>236</v>
      </c>
      <c r="C110" s="6" t="s">
        <v>58</v>
      </c>
      <c r="D110" s="11">
        <v>30</v>
      </c>
      <c r="E110" s="12">
        <v>144</v>
      </c>
      <c r="F110" s="13">
        <v>255</v>
      </c>
      <c r="G110" s="7">
        <v>210</v>
      </c>
      <c r="H110" s="163">
        <v>1</v>
      </c>
      <c r="I110" s="164">
        <v>0.56000000000000005</v>
      </c>
      <c r="J110" s="163">
        <v>0.88</v>
      </c>
      <c r="K110" s="164">
        <v>1</v>
      </c>
      <c r="L110" s="18">
        <f>G110/360*255</f>
        <v>148.75</v>
      </c>
      <c r="M110" s="19">
        <f>H110*255</f>
        <v>255</v>
      </c>
      <c r="N110" s="20">
        <f>I110*255</f>
        <v>142.80000000000001</v>
      </c>
      <c r="O110" s="399" t="str">
        <f>myRGBLuminance(D110,E110,F110,235)</f>
        <v/>
      </c>
      <c r="P110" s="400" t="str">
        <f>myRGBLuminance(D110,E110,F110,180)</f>
        <v/>
      </c>
      <c r="Q110" s="401" t="str">
        <f>myRGBLuminance(D110,E110,F110,85)</f>
        <v/>
      </c>
    </row>
    <row r="111" spans="1:17" ht="16.5" thickTop="1" thickBot="1" x14ac:dyDescent="0.3">
      <c r="A111" s="112" t="str">
        <f>myRGB(D111,E111,F111)</f>
        <v/>
      </c>
      <c r="B111" s="5" t="s">
        <v>257</v>
      </c>
      <c r="C111" s="6" t="s">
        <v>105</v>
      </c>
      <c r="D111" s="11">
        <v>176</v>
      </c>
      <c r="E111" s="12">
        <v>196</v>
      </c>
      <c r="F111" s="13">
        <v>222</v>
      </c>
      <c r="G111" s="7">
        <v>214</v>
      </c>
      <c r="H111" s="163">
        <v>0.41</v>
      </c>
      <c r="I111" s="164">
        <v>0.78</v>
      </c>
      <c r="J111" s="163">
        <v>0.21</v>
      </c>
      <c r="K111" s="164">
        <v>0.87</v>
      </c>
      <c r="L111" s="18">
        <f>G111/360*255</f>
        <v>151.58333333333334</v>
      </c>
      <c r="M111" s="19">
        <f>H111*255</f>
        <v>104.55</v>
      </c>
      <c r="N111" s="20">
        <f>I111*255</f>
        <v>198.9</v>
      </c>
      <c r="O111" s="402" t="str">
        <f>myRGBLuminance(D111,E111,F111,235)</f>
        <v/>
      </c>
      <c r="P111" s="403" t="str">
        <f>myRGBLuminance(D111,E111,F111,180)</f>
        <v/>
      </c>
      <c r="Q111" s="404" t="str">
        <f>myRGBLuminance(D111,E111,F111,85)</f>
        <v/>
      </c>
    </row>
    <row r="112" spans="1:17" ht="16.5" thickTop="1" thickBot="1" x14ac:dyDescent="0.3">
      <c r="A112" s="24" t="str">
        <f>myRGB(D112,E112,F112)</f>
        <v/>
      </c>
      <c r="B112" s="5" t="s">
        <v>215</v>
      </c>
      <c r="C112" s="6" t="s">
        <v>33</v>
      </c>
      <c r="D112" s="11">
        <v>100</v>
      </c>
      <c r="E112" s="12">
        <v>149</v>
      </c>
      <c r="F112" s="13">
        <v>237</v>
      </c>
      <c r="G112" s="7">
        <v>219</v>
      </c>
      <c r="H112" s="163">
        <v>0.79</v>
      </c>
      <c r="I112" s="164">
        <v>0.66</v>
      </c>
      <c r="J112" s="163">
        <v>0.57999999999999996</v>
      </c>
      <c r="K112" s="164">
        <v>0.93</v>
      </c>
      <c r="L112" s="18">
        <f>G112/360*255</f>
        <v>155.125</v>
      </c>
      <c r="M112" s="19">
        <f>H112*255</f>
        <v>201.45000000000002</v>
      </c>
      <c r="N112" s="20">
        <f>I112*255</f>
        <v>168.3</v>
      </c>
      <c r="O112" s="405" t="str">
        <f>myRGBLuminance(D112,E112,F112,235)</f>
        <v/>
      </c>
      <c r="P112" s="406" t="str">
        <f>myRGBLuminance(D112,E112,F112,180)</f>
        <v/>
      </c>
      <c r="Q112" s="407" t="str">
        <f>myRGBLuminance(D112,E112,F112,85)</f>
        <v/>
      </c>
    </row>
    <row r="113" spans="1:17" ht="16.5" thickTop="1" thickBot="1" x14ac:dyDescent="0.3">
      <c r="A113" s="157" t="str">
        <f>myRGB(D113,E113,F113)</f>
        <v/>
      </c>
      <c r="B113" s="5" t="s">
        <v>284</v>
      </c>
      <c r="C113" s="6" t="s">
        <v>158</v>
      </c>
      <c r="D113" s="11">
        <v>65</v>
      </c>
      <c r="E113" s="12">
        <v>105</v>
      </c>
      <c r="F113" s="13">
        <v>225</v>
      </c>
      <c r="G113" s="7">
        <v>225</v>
      </c>
      <c r="H113" s="163">
        <v>0.73</v>
      </c>
      <c r="I113" s="164">
        <v>0.56999999999999995</v>
      </c>
      <c r="J113" s="163">
        <v>0.71</v>
      </c>
      <c r="K113" s="164">
        <v>0.88</v>
      </c>
      <c r="L113" s="18">
        <f>G113/360*255</f>
        <v>159.375</v>
      </c>
      <c r="M113" s="19">
        <f>H113*255</f>
        <v>186.15</v>
      </c>
      <c r="N113" s="20">
        <f>I113*255</f>
        <v>145.35</v>
      </c>
      <c r="O113" s="408" t="str">
        <f>myRGBLuminance(D113,E113,F113,235)</f>
        <v/>
      </c>
      <c r="P113" s="409" t="str">
        <f>myRGBLuminance(D113,E113,F113,180)</f>
        <v/>
      </c>
      <c r="Q113" s="410" t="str">
        <f>myRGBLuminance(D113,E113,F113,85)</f>
        <v/>
      </c>
    </row>
    <row r="114" spans="1:17" ht="16.5" thickTop="1" thickBot="1" x14ac:dyDescent="0.3">
      <c r="A114" s="133" t="str">
        <f>myRGB(D114,E114,F114)</f>
        <v/>
      </c>
      <c r="B114" s="5" t="s">
        <v>269</v>
      </c>
      <c r="C114" s="6" t="s">
        <v>123</v>
      </c>
      <c r="D114" s="11">
        <v>25</v>
      </c>
      <c r="E114" s="12">
        <v>25</v>
      </c>
      <c r="F114" s="13">
        <v>112</v>
      </c>
      <c r="G114" s="7">
        <v>240</v>
      </c>
      <c r="H114" s="163">
        <v>0.64</v>
      </c>
      <c r="I114" s="164">
        <v>0.27</v>
      </c>
      <c r="J114" s="163">
        <v>0.78</v>
      </c>
      <c r="K114" s="164">
        <v>0.44</v>
      </c>
      <c r="L114" s="18">
        <f>G114/360*255</f>
        <v>170</v>
      </c>
      <c r="M114" s="19">
        <f>H114*255</f>
        <v>163.20000000000002</v>
      </c>
      <c r="N114" s="20">
        <f>I114*255</f>
        <v>68.850000000000009</v>
      </c>
      <c r="O114" s="411" t="str">
        <f>myRGBLuminance(D114,E114,F114,235)</f>
        <v/>
      </c>
      <c r="P114" s="412" t="str">
        <f>myRGBLuminance(D114,E114,F114,180)</f>
        <v/>
      </c>
      <c r="Q114" s="413" t="str">
        <f>myRGBLuminance(D114,E114,F114,85)</f>
        <v/>
      </c>
    </row>
    <row r="115" spans="1:17" ht="16.5" thickTop="1" thickBot="1" x14ac:dyDescent="0.3">
      <c r="A115" s="119" t="str">
        <f>myRGB(D115,E115,F115)</f>
        <v/>
      </c>
      <c r="B115" s="5" t="s">
        <v>89</v>
      </c>
      <c r="C115" s="6" t="s">
        <v>90</v>
      </c>
      <c r="D115" s="11">
        <v>230</v>
      </c>
      <c r="E115" s="12">
        <v>230</v>
      </c>
      <c r="F115" s="13">
        <v>250</v>
      </c>
      <c r="G115" s="7">
        <v>240</v>
      </c>
      <c r="H115" s="163">
        <v>0.67</v>
      </c>
      <c r="I115" s="164">
        <v>0.94</v>
      </c>
      <c r="J115" s="163">
        <v>0.08</v>
      </c>
      <c r="K115" s="164">
        <v>0.98</v>
      </c>
      <c r="L115" s="18">
        <f>G115/360*255</f>
        <v>170</v>
      </c>
      <c r="M115" s="19">
        <f>H115*255</f>
        <v>170.85000000000002</v>
      </c>
      <c r="N115" s="20">
        <f>I115*255</f>
        <v>239.7</v>
      </c>
      <c r="O115" s="411" t="str">
        <f>myRGBLuminance(D115,E115,F115,235)</f>
        <v/>
      </c>
      <c r="P115" s="414" t="str">
        <f>myRGBLuminance(D115,E115,F115,180)</f>
        <v/>
      </c>
      <c r="Q115" s="415" t="str">
        <f>myRGBLuminance(D115,E115,F115,85)</f>
        <v/>
      </c>
    </row>
    <row r="116" spans="1:17" ht="16.5" thickTop="1" thickBot="1" x14ac:dyDescent="0.3">
      <c r="A116" s="51" t="str">
        <f>myRGB(D116,E116,F116)</f>
        <v/>
      </c>
      <c r="B116" s="5" t="s">
        <v>296</v>
      </c>
      <c r="C116" s="6" t="s">
        <v>129</v>
      </c>
      <c r="D116" s="11">
        <v>0</v>
      </c>
      <c r="E116" s="12">
        <v>0</v>
      </c>
      <c r="F116" s="13">
        <v>128</v>
      </c>
      <c r="G116" s="7">
        <v>240</v>
      </c>
      <c r="H116" s="163">
        <v>1</v>
      </c>
      <c r="I116" s="164">
        <v>0.25</v>
      </c>
      <c r="J116" s="163">
        <v>1</v>
      </c>
      <c r="K116" s="164">
        <v>0.5</v>
      </c>
      <c r="L116" s="18">
        <f>G116/360*255</f>
        <v>170</v>
      </c>
      <c r="M116" s="19">
        <f>H116*255</f>
        <v>255</v>
      </c>
      <c r="N116" s="20">
        <f>I116*255</f>
        <v>63.75</v>
      </c>
      <c r="O116" s="301" t="str">
        <f>myRGBLuminance(D116,E116,F116,235)</f>
        <v/>
      </c>
      <c r="P116" s="302" t="str">
        <f>myRGBLuminance(D116,E116,F116,180)</f>
        <v/>
      </c>
      <c r="Q116" s="303" t="str">
        <f>myRGBLuminance(D116,E116,F116,85)</f>
        <v/>
      </c>
    </row>
    <row r="117" spans="1:17" ht="16.5" thickTop="1" thickBot="1" x14ac:dyDescent="0.3">
      <c r="A117" s="129" t="str">
        <f>myRGB(D117,E117,F117)</f>
        <v/>
      </c>
      <c r="B117" s="5" t="s">
        <v>216</v>
      </c>
      <c r="C117" s="6" t="s">
        <v>38</v>
      </c>
      <c r="D117" s="11">
        <v>0</v>
      </c>
      <c r="E117" s="12">
        <v>0</v>
      </c>
      <c r="F117" s="13">
        <v>139</v>
      </c>
      <c r="G117" s="7">
        <v>240</v>
      </c>
      <c r="H117" s="163">
        <v>1</v>
      </c>
      <c r="I117" s="164">
        <v>0.27</v>
      </c>
      <c r="J117" s="163">
        <v>1</v>
      </c>
      <c r="K117" s="164">
        <v>0.55000000000000004</v>
      </c>
      <c r="L117" s="18">
        <f>G117/360*255</f>
        <v>170</v>
      </c>
      <c r="M117" s="19">
        <f>H117*255</f>
        <v>255</v>
      </c>
      <c r="N117" s="20">
        <f>I117*255</f>
        <v>68.850000000000009</v>
      </c>
      <c r="O117" s="301" t="str">
        <f>myRGBLuminance(D117,E117,F117,235)</f>
        <v/>
      </c>
      <c r="P117" s="302" t="str">
        <f>myRGBLuminance(D117,E117,F117,180)</f>
        <v/>
      </c>
      <c r="Q117" s="303" t="str">
        <f>myRGBLuminance(D117,E117,F117,85)</f>
        <v/>
      </c>
    </row>
    <row r="118" spans="1:17" ht="16.5" thickTop="1" thickBot="1" x14ac:dyDescent="0.3">
      <c r="A118" s="120" t="str">
        <f>myRGB(D118,E118,F118)</f>
        <v/>
      </c>
      <c r="B118" s="5" t="s">
        <v>261</v>
      </c>
      <c r="C118" s="6" t="s">
        <v>115</v>
      </c>
      <c r="D118" s="11">
        <v>0</v>
      </c>
      <c r="E118" s="12">
        <v>0</v>
      </c>
      <c r="F118" s="13">
        <v>205</v>
      </c>
      <c r="G118" s="7">
        <v>240</v>
      </c>
      <c r="H118" s="163">
        <v>1</v>
      </c>
      <c r="I118" s="164">
        <v>0.4</v>
      </c>
      <c r="J118" s="163">
        <v>1</v>
      </c>
      <c r="K118" s="164">
        <v>0.8</v>
      </c>
      <c r="L118" s="18">
        <f>G118/360*255</f>
        <v>170</v>
      </c>
      <c r="M118" s="19">
        <f>H118*255</f>
        <v>255</v>
      </c>
      <c r="N118" s="20">
        <f>I118*255</f>
        <v>102</v>
      </c>
      <c r="O118" s="301" t="str">
        <f>myRGBLuminance(D118,E118,F118,235)</f>
        <v/>
      </c>
      <c r="P118" s="302" t="str">
        <f>myRGBLuminance(D118,E118,F118,180)</f>
        <v/>
      </c>
      <c r="Q118" s="303" t="str">
        <f>myRGBLuminance(D118,E118,F118,85)</f>
        <v/>
      </c>
    </row>
    <row r="119" spans="1:17" ht="16.5" thickTop="1" thickBot="1" x14ac:dyDescent="0.3">
      <c r="A119" s="23" t="str">
        <f>myRGB(D119,E119,F119)</f>
        <v/>
      </c>
      <c r="B119" s="5" t="s">
        <v>3</v>
      </c>
      <c r="C119" s="6" t="s">
        <v>20</v>
      </c>
      <c r="D119" s="11">
        <v>0</v>
      </c>
      <c r="E119" s="12">
        <v>0</v>
      </c>
      <c r="F119" s="13">
        <v>255</v>
      </c>
      <c r="G119" s="7">
        <v>240</v>
      </c>
      <c r="H119" s="163">
        <v>1</v>
      </c>
      <c r="I119" s="164">
        <v>0.5</v>
      </c>
      <c r="J119" s="163">
        <v>1</v>
      </c>
      <c r="K119" s="164">
        <v>1</v>
      </c>
      <c r="L119" s="18">
        <f>G119/360*255</f>
        <v>170</v>
      </c>
      <c r="M119" s="19">
        <f>H119*255</f>
        <v>255</v>
      </c>
      <c r="N119" s="20">
        <f>I119*255</f>
        <v>127.5</v>
      </c>
      <c r="O119" s="301" t="str">
        <f>myRGBLuminance(D119,E119,F119,235)</f>
        <v/>
      </c>
      <c r="P119" s="302" t="str">
        <f>myRGBLuminance(D119,E119,F119,180)</f>
        <v/>
      </c>
      <c r="Q119" s="303" t="str">
        <f>myRGBLuminance(D119,E119,F119,85)</f>
        <v/>
      </c>
    </row>
    <row r="120" spans="1:17" ht="16.5" thickTop="1" thickBot="1" x14ac:dyDescent="0.3">
      <c r="A120" s="91" t="str">
        <f>myRGB(D120,E120,F120)</f>
        <v/>
      </c>
      <c r="B120" s="5" t="s">
        <v>239</v>
      </c>
      <c r="C120" s="6" t="s">
        <v>68</v>
      </c>
      <c r="D120" s="11">
        <v>248</v>
      </c>
      <c r="E120" s="12">
        <v>248</v>
      </c>
      <c r="F120" s="13">
        <v>255</v>
      </c>
      <c r="G120" s="7">
        <v>240</v>
      </c>
      <c r="H120" s="163">
        <v>1</v>
      </c>
      <c r="I120" s="164">
        <v>0.99</v>
      </c>
      <c r="J120" s="163">
        <v>0.03</v>
      </c>
      <c r="K120" s="164">
        <v>1</v>
      </c>
      <c r="L120" s="18">
        <f>G120/360*255</f>
        <v>170</v>
      </c>
      <c r="M120" s="19">
        <f>H120*255</f>
        <v>255</v>
      </c>
      <c r="N120" s="20">
        <f>I120*255</f>
        <v>252.45</v>
      </c>
      <c r="O120" s="301" t="str">
        <f>myRGBLuminance(D120,E120,F120,235)</f>
        <v/>
      </c>
      <c r="P120" s="302" t="str">
        <f>myRGBLuminance(D120,E120,F120,180)</f>
        <v/>
      </c>
      <c r="Q120" s="303" t="str">
        <f>myRGBLuminance(D120,E120,F120,85)</f>
        <v/>
      </c>
    </row>
    <row r="121" spans="1:17" ht="16.5" thickTop="1" thickBot="1" x14ac:dyDescent="0.3">
      <c r="A121" s="43" t="str">
        <f>myRGB(D121,E121,F121)</f>
        <v/>
      </c>
      <c r="B121" s="165" t="s">
        <v>229</v>
      </c>
      <c r="C121" s="6" t="s">
        <v>51</v>
      </c>
      <c r="D121" s="11">
        <v>72</v>
      </c>
      <c r="E121" s="12">
        <v>61</v>
      </c>
      <c r="F121" s="13">
        <v>139</v>
      </c>
      <c r="G121" s="7">
        <v>248</v>
      </c>
      <c r="H121" s="163">
        <v>0.39</v>
      </c>
      <c r="I121" s="164">
        <v>0.39</v>
      </c>
      <c r="J121" s="163">
        <v>0.56000000000000005</v>
      </c>
      <c r="K121" s="164">
        <v>0.55000000000000004</v>
      </c>
      <c r="L121" s="18">
        <f>G121/360*255</f>
        <v>175.66666666666666</v>
      </c>
      <c r="M121" s="19">
        <f>H121*255</f>
        <v>99.45</v>
      </c>
      <c r="N121" s="20">
        <f>I121*255</f>
        <v>99.45</v>
      </c>
      <c r="O121" s="416" t="str">
        <f>myRGBLuminance(D121,E121,F121,235)</f>
        <v/>
      </c>
      <c r="P121" s="417" t="str">
        <f>myRGBLuminance(D121,E121,F121,180)</f>
        <v/>
      </c>
      <c r="Q121" s="418" t="str">
        <f>myRGBLuminance(D121,E121,F121,85)</f>
        <v/>
      </c>
    </row>
    <row r="122" spans="1:17" ht="16.5" thickTop="1" thickBot="1" x14ac:dyDescent="0.3">
      <c r="A122" s="38" t="str">
        <f>myRGB(D122,E122,F122)</f>
        <v/>
      </c>
      <c r="B122" s="5" t="s">
        <v>289</v>
      </c>
      <c r="C122" s="6" t="s">
        <v>171</v>
      </c>
      <c r="D122" s="11">
        <v>106</v>
      </c>
      <c r="E122" s="12">
        <v>90</v>
      </c>
      <c r="F122" s="13">
        <v>205</v>
      </c>
      <c r="G122" s="7">
        <v>248</v>
      </c>
      <c r="H122" s="163">
        <v>0.54</v>
      </c>
      <c r="I122" s="164">
        <v>0.57999999999999996</v>
      </c>
      <c r="J122" s="163">
        <v>0.56000000000000005</v>
      </c>
      <c r="K122" s="164">
        <v>0.8</v>
      </c>
      <c r="L122" s="18">
        <f>G122/360*255</f>
        <v>175.66666666666666</v>
      </c>
      <c r="M122" s="19">
        <f>H122*255</f>
        <v>137.70000000000002</v>
      </c>
      <c r="N122" s="20">
        <f>I122*255</f>
        <v>147.89999999999998</v>
      </c>
      <c r="O122" s="419" t="str">
        <f>myRGBLuminance(D122,E122,F122,235)</f>
        <v/>
      </c>
      <c r="P122" s="420" t="str">
        <f>myRGBLuminance(D122,E122,F122,180)</f>
        <v/>
      </c>
      <c r="Q122" s="421" t="str">
        <f>myRGBLuminance(D122,E122,F122,85)</f>
        <v/>
      </c>
    </row>
    <row r="123" spans="1:17" ht="16.5" thickTop="1" thickBot="1" x14ac:dyDescent="0.3">
      <c r="A123" s="33" t="str">
        <f>myRGB(D123,E123,F123)</f>
        <v/>
      </c>
      <c r="B123" s="165" t="s">
        <v>265</v>
      </c>
      <c r="C123" s="6" t="s">
        <v>119</v>
      </c>
      <c r="D123" s="11">
        <v>123</v>
      </c>
      <c r="E123" s="12">
        <v>104</v>
      </c>
      <c r="F123" s="13">
        <v>238</v>
      </c>
      <c r="G123" s="7">
        <v>249</v>
      </c>
      <c r="H123" s="163">
        <v>0.8</v>
      </c>
      <c r="I123" s="164">
        <v>0.67</v>
      </c>
      <c r="J123" s="163">
        <v>0.56000000000000005</v>
      </c>
      <c r="K123" s="164">
        <v>0.93</v>
      </c>
      <c r="L123" s="18">
        <f>G123/360*255</f>
        <v>176.375</v>
      </c>
      <c r="M123" s="19">
        <f>H123*255</f>
        <v>204</v>
      </c>
      <c r="N123" s="20">
        <f>I123*255</f>
        <v>170.85000000000002</v>
      </c>
      <c r="O123" s="422" t="str">
        <f>myRGBLuminance(D123,E123,F123,235)</f>
        <v/>
      </c>
      <c r="P123" s="423" t="str">
        <f>myRGBLuminance(D123,E123,F123,180)</f>
        <v/>
      </c>
      <c r="Q123" s="424" t="str">
        <f>myRGBLuminance(D123,E123,F123,85)</f>
        <v/>
      </c>
    </row>
    <row r="124" spans="1:17" ht="16.5" thickTop="1" thickBot="1" x14ac:dyDescent="0.3">
      <c r="A124" s="102" t="str">
        <f>myRGB(D124,E124,F124)</f>
        <v/>
      </c>
      <c r="B124" s="5" t="s">
        <v>263</v>
      </c>
      <c r="C124" s="6" t="s">
        <v>117</v>
      </c>
      <c r="D124" s="11">
        <v>147</v>
      </c>
      <c r="E124" s="12">
        <v>112</v>
      </c>
      <c r="F124" s="13">
        <v>219</v>
      </c>
      <c r="G124" s="7">
        <v>260</v>
      </c>
      <c r="H124" s="163">
        <v>0.6</v>
      </c>
      <c r="I124" s="164">
        <v>0.65</v>
      </c>
      <c r="J124" s="163">
        <v>0.49</v>
      </c>
      <c r="K124" s="164">
        <v>0.86</v>
      </c>
      <c r="L124" s="18">
        <f>G124/360*255</f>
        <v>184.16666666666666</v>
      </c>
      <c r="M124" s="19">
        <f>H124*255</f>
        <v>153</v>
      </c>
      <c r="N124" s="20">
        <f>I124*255</f>
        <v>165.75</v>
      </c>
      <c r="O124" s="425" t="str">
        <f>myRGBLuminance(D124,E124,F124,235)</f>
        <v/>
      </c>
      <c r="P124" s="426" t="str">
        <f>myRGBLuminance(D124,E124,F124,180)</f>
        <v/>
      </c>
      <c r="Q124" s="427" t="str">
        <f>myRGBLuminance(D124,E124,F124,85)</f>
        <v/>
      </c>
    </row>
    <row r="125" spans="1:17" ht="16.5" thickTop="1" thickBot="1" x14ac:dyDescent="0.3">
      <c r="A125" s="134" t="str">
        <f>myRGB(D125,E125,F125)</f>
        <v/>
      </c>
      <c r="B125" s="166" t="s">
        <v>297</v>
      </c>
      <c r="C125" s="6" t="s">
        <v>155</v>
      </c>
      <c r="D125" s="11">
        <v>102</v>
      </c>
      <c r="E125" s="12">
        <v>51</v>
      </c>
      <c r="F125" s="13">
        <v>153</v>
      </c>
      <c r="G125" s="7">
        <v>270</v>
      </c>
      <c r="H125" s="163">
        <v>0.5</v>
      </c>
      <c r="I125" s="164">
        <v>0.4</v>
      </c>
      <c r="J125" s="163">
        <v>0.67</v>
      </c>
      <c r="K125" s="164">
        <v>0.6</v>
      </c>
      <c r="L125" s="18">
        <f>G125/360*255</f>
        <v>191.25</v>
      </c>
      <c r="M125" s="19">
        <f>H125*255</f>
        <v>127.5</v>
      </c>
      <c r="N125" s="20">
        <f>I125*255</f>
        <v>102</v>
      </c>
      <c r="O125" s="428" t="str">
        <f>myRGBLuminance(D125,E125,F125,235)</f>
        <v/>
      </c>
      <c r="P125" s="429" t="str">
        <f>myRGBLuminance(D125,E125,F125,180)</f>
        <v/>
      </c>
      <c r="Q125" s="430" t="str">
        <f>myRGBLuminance(D125,E125,F125,85)</f>
        <v/>
      </c>
    </row>
    <row r="126" spans="1:17" ht="16.5" thickTop="1" thickBot="1" x14ac:dyDescent="0.3">
      <c r="A126" s="40" t="str">
        <f>myRGB(D126,E126,F126)</f>
        <v/>
      </c>
      <c r="B126" s="5" t="s">
        <v>213</v>
      </c>
      <c r="C126" s="6" t="s">
        <v>21</v>
      </c>
      <c r="D126" s="11">
        <v>138</v>
      </c>
      <c r="E126" s="12">
        <v>43</v>
      </c>
      <c r="F126" s="13">
        <v>226</v>
      </c>
      <c r="G126" s="7">
        <v>271</v>
      </c>
      <c r="H126" s="163">
        <v>0.76</v>
      </c>
      <c r="I126" s="164">
        <v>0.53</v>
      </c>
      <c r="J126" s="163">
        <v>0.81</v>
      </c>
      <c r="K126" s="164">
        <v>0.89</v>
      </c>
      <c r="L126" s="18">
        <f>G126/360*255</f>
        <v>191.95833333333334</v>
      </c>
      <c r="M126" s="19">
        <f>H126*255</f>
        <v>193.8</v>
      </c>
      <c r="N126" s="20">
        <f>I126*255</f>
        <v>135.15</v>
      </c>
      <c r="O126" s="431" t="str">
        <f>myRGBLuminance(D126,E126,F126,235)</f>
        <v/>
      </c>
      <c r="P126" s="432" t="str">
        <f>myRGBLuminance(D126,E126,F126,180)</f>
        <v/>
      </c>
      <c r="Q126" s="433" t="str">
        <f>myRGBLuminance(D126,E126,F126,85)</f>
        <v/>
      </c>
    </row>
    <row r="127" spans="1:17" ht="16.5" thickTop="1" thickBot="1" x14ac:dyDescent="0.3">
      <c r="A127" s="46" t="str">
        <f>myRGB(D127,E127,F127)</f>
        <v/>
      </c>
      <c r="B127" s="5" t="s">
        <v>83</v>
      </c>
      <c r="C127" s="6" t="s">
        <v>84</v>
      </c>
      <c r="D127" s="11">
        <v>75</v>
      </c>
      <c r="E127" s="12">
        <v>0</v>
      </c>
      <c r="F127" s="13">
        <v>130</v>
      </c>
      <c r="G127" s="7">
        <v>275</v>
      </c>
      <c r="H127" s="163">
        <v>1</v>
      </c>
      <c r="I127" s="164">
        <v>0.26</v>
      </c>
      <c r="J127" s="163">
        <v>1</v>
      </c>
      <c r="K127" s="164">
        <v>0.51</v>
      </c>
      <c r="L127" s="18">
        <f>G127/360*255</f>
        <v>194.79166666666666</v>
      </c>
      <c r="M127" s="19">
        <f>H127*255</f>
        <v>255</v>
      </c>
      <c r="N127" s="20">
        <f>I127*255</f>
        <v>66.3</v>
      </c>
      <c r="O127" s="434" t="str">
        <f>myRGBLuminance(D127,E127,F127,235)</f>
        <v/>
      </c>
      <c r="P127" s="435" t="str">
        <f>myRGBLuminance(D127,E127,F127,180)</f>
        <v/>
      </c>
      <c r="Q127" s="436" t="str">
        <f>myRGBLuminance(D127,E127,F127,85)</f>
        <v/>
      </c>
    </row>
    <row r="128" spans="1:17" ht="16.5" thickTop="1" thickBot="1" x14ac:dyDescent="0.3">
      <c r="A128" s="70" t="str">
        <f>myRGB(D128,E128,F128)</f>
        <v/>
      </c>
      <c r="B128" s="5" t="s">
        <v>152</v>
      </c>
      <c r="C128" s="6" t="s">
        <v>153</v>
      </c>
      <c r="D128" s="11">
        <v>160</v>
      </c>
      <c r="E128" s="12">
        <v>32</v>
      </c>
      <c r="F128" s="13">
        <v>240</v>
      </c>
      <c r="G128" s="7">
        <v>277</v>
      </c>
      <c r="H128" s="163">
        <v>0.87</v>
      </c>
      <c r="I128" s="164">
        <v>0.53</v>
      </c>
      <c r="J128" s="163">
        <v>0.87</v>
      </c>
      <c r="K128" s="164">
        <v>0.94</v>
      </c>
      <c r="L128" s="18">
        <f>G128/360*255</f>
        <v>196.20833333333334</v>
      </c>
      <c r="M128" s="19">
        <f>H128*255</f>
        <v>221.85</v>
      </c>
      <c r="N128" s="20">
        <f>I128*255</f>
        <v>135.15</v>
      </c>
      <c r="O128" s="437" t="str">
        <f>myRGBLuminance(D128,E128,F128,235)</f>
        <v/>
      </c>
      <c r="P128" s="438" t="str">
        <f>myRGBLuminance(D128,E128,F128,180)</f>
        <v/>
      </c>
      <c r="Q128" s="439" t="str">
        <f>myRGBLuminance(D128,E128,F128,85)</f>
        <v/>
      </c>
    </row>
    <row r="129" spans="1:17" ht="16.5" thickTop="1" thickBot="1" x14ac:dyDescent="0.3">
      <c r="A129" s="78" t="str">
        <f>myRGB(D129,E129,F129)</f>
        <v/>
      </c>
      <c r="B129" s="5" t="s">
        <v>225</v>
      </c>
      <c r="C129" s="6" t="s">
        <v>47</v>
      </c>
      <c r="D129" s="11">
        <v>153</v>
      </c>
      <c r="E129" s="12">
        <v>50</v>
      </c>
      <c r="F129" s="13">
        <v>204</v>
      </c>
      <c r="G129" s="7">
        <v>280</v>
      </c>
      <c r="H129" s="163">
        <v>0.61</v>
      </c>
      <c r="I129" s="164">
        <v>0.5</v>
      </c>
      <c r="J129" s="163">
        <v>0.75</v>
      </c>
      <c r="K129" s="164">
        <v>0.8</v>
      </c>
      <c r="L129" s="18">
        <f>G129/360*255</f>
        <v>198.33333333333334</v>
      </c>
      <c r="M129" s="19">
        <f>H129*255</f>
        <v>155.54999999999998</v>
      </c>
      <c r="N129" s="20">
        <f>I129*255</f>
        <v>127.5</v>
      </c>
      <c r="O129" s="440" t="str">
        <f>myRGBLuminance(D129,E129,F129,235)</f>
        <v/>
      </c>
      <c r="P129" s="441" t="str">
        <f>myRGBLuminance(D129,E129,F129,180)</f>
        <v/>
      </c>
      <c r="Q129" s="442" t="str">
        <f>myRGBLuminance(D129,E129,F129,85)</f>
        <v/>
      </c>
    </row>
    <row r="130" spans="1:17" ht="16.5" thickTop="1" thickBot="1" x14ac:dyDescent="0.3">
      <c r="A130" s="95" t="str">
        <f>myRGB(D130,E130,F130)</f>
        <v/>
      </c>
      <c r="B130" s="5" t="s">
        <v>232</v>
      </c>
      <c r="C130" s="6" t="s">
        <v>54</v>
      </c>
      <c r="D130" s="11">
        <v>148</v>
      </c>
      <c r="E130" s="12">
        <v>0</v>
      </c>
      <c r="F130" s="13">
        <v>211</v>
      </c>
      <c r="G130" s="7">
        <v>282</v>
      </c>
      <c r="H130" s="163">
        <v>1</v>
      </c>
      <c r="I130" s="164">
        <v>0.41</v>
      </c>
      <c r="J130" s="163">
        <v>1</v>
      </c>
      <c r="K130" s="164">
        <v>0.83</v>
      </c>
      <c r="L130" s="18">
        <f>G130/360*255</f>
        <v>199.75</v>
      </c>
      <c r="M130" s="19">
        <f>H130*255</f>
        <v>255</v>
      </c>
      <c r="N130" s="20">
        <f>I130*255</f>
        <v>104.55</v>
      </c>
      <c r="O130" s="443" t="str">
        <f>myRGBLuminance(D130,E130,F130,235)</f>
        <v/>
      </c>
      <c r="P130" s="444" t="str">
        <f>myRGBLuminance(D130,E130,F130,180)</f>
        <v/>
      </c>
      <c r="Q130" s="445" t="str">
        <f>myRGBLuminance(D130,E130,F130,85)</f>
        <v/>
      </c>
    </row>
    <row r="131" spans="1:17" ht="16.5" thickTop="1" thickBot="1" x14ac:dyDescent="0.3">
      <c r="A131" s="136" t="str">
        <f>myRGB(D131,E131,F131)</f>
        <v/>
      </c>
      <c r="B131" s="5" t="s">
        <v>262</v>
      </c>
      <c r="C131" s="6" t="s">
        <v>116</v>
      </c>
      <c r="D131" s="11">
        <v>186</v>
      </c>
      <c r="E131" s="12">
        <v>85</v>
      </c>
      <c r="F131" s="13">
        <v>211</v>
      </c>
      <c r="G131" s="7">
        <v>288</v>
      </c>
      <c r="H131" s="163">
        <v>0.59</v>
      </c>
      <c r="I131" s="164">
        <v>0.57999999999999996</v>
      </c>
      <c r="J131" s="163">
        <v>0.6</v>
      </c>
      <c r="K131" s="164">
        <v>0.83</v>
      </c>
      <c r="L131" s="18">
        <f>G131/360*255</f>
        <v>204</v>
      </c>
      <c r="M131" s="19">
        <f>H131*255</f>
        <v>150.44999999999999</v>
      </c>
      <c r="N131" s="20">
        <f>I131*255</f>
        <v>147.89999999999998</v>
      </c>
      <c r="O131" s="446" t="str">
        <f>myRGBLuminance(D131,E131,F131,235)</f>
        <v/>
      </c>
      <c r="P131" s="447" t="str">
        <f>myRGBLuminance(D131,E131,F131,180)</f>
        <v/>
      </c>
      <c r="Q131" s="448" t="str">
        <f>myRGBLuminance(D131,E131,F131,85)</f>
        <v/>
      </c>
    </row>
    <row r="132" spans="1:17" ht="16.5" thickTop="1" thickBot="1" x14ac:dyDescent="0.3">
      <c r="A132" s="159" t="str">
        <f>myRGB(D132,E132,F132)</f>
        <v/>
      </c>
      <c r="B132" s="5" t="s">
        <v>181</v>
      </c>
      <c r="C132" s="6" t="s">
        <v>182</v>
      </c>
      <c r="D132" s="11">
        <v>216</v>
      </c>
      <c r="E132" s="12">
        <v>191</v>
      </c>
      <c r="F132" s="13">
        <v>216</v>
      </c>
      <c r="G132" s="7">
        <v>300</v>
      </c>
      <c r="H132" s="163">
        <v>0.24</v>
      </c>
      <c r="I132" s="164">
        <v>0.8</v>
      </c>
      <c r="J132" s="163">
        <v>0.12</v>
      </c>
      <c r="K132" s="164">
        <v>0.85</v>
      </c>
      <c r="L132" s="18">
        <f>G132/360*255</f>
        <v>212.5</v>
      </c>
      <c r="M132" s="19">
        <f>H132*255</f>
        <v>61.199999999999996</v>
      </c>
      <c r="N132" s="20">
        <f>I132*255</f>
        <v>204</v>
      </c>
      <c r="O132" s="449" t="str">
        <f>myRGBLuminance(D132,E132,F132,235)</f>
        <v/>
      </c>
      <c r="P132" s="450" t="str">
        <f>myRGBLuminance(D132,E132,F132,180)</f>
        <v/>
      </c>
      <c r="Q132" s="451" t="str">
        <f>myRGBLuminance(D132,E132,F132,85)</f>
        <v/>
      </c>
    </row>
    <row r="133" spans="1:17" ht="16.5" thickTop="1" thickBot="1" x14ac:dyDescent="0.3">
      <c r="A133" s="36" t="str">
        <f>myRGB(D133,E133,F133)</f>
        <v/>
      </c>
      <c r="B133" s="5" t="s">
        <v>149</v>
      </c>
      <c r="C133" s="6" t="s">
        <v>150</v>
      </c>
      <c r="D133" s="11">
        <v>221</v>
      </c>
      <c r="E133" s="12">
        <v>160</v>
      </c>
      <c r="F133" s="13">
        <v>221</v>
      </c>
      <c r="G133" s="7">
        <v>300</v>
      </c>
      <c r="H133" s="163">
        <v>0.47</v>
      </c>
      <c r="I133" s="164">
        <v>0.75</v>
      </c>
      <c r="J133" s="163">
        <v>0.28000000000000003</v>
      </c>
      <c r="K133" s="164">
        <v>0.87</v>
      </c>
      <c r="L133" s="18">
        <f>G133/360*255</f>
        <v>212.5</v>
      </c>
      <c r="M133" s="19">
        <f>H133*255</f>
        <v>119.85</v>
      </c>
      <c r="N133" s="20">
        <f>I133*255</f>
        <v>191.25</v>
      </c>
      <c r="O133" s="452" t="str">
        <f>myRGBLuminance(D133,E133,F133,235)</f>
        <v/>
      </c>
      <c r="P133" s="453" t="str">
        <f>myRGBLuminance(D133,E133,F133,180)</f>
        <v/>
      </c>
      <c r="Q133" s="454" t="str">
        <f>myRGBLuminance(D133,E133,F133,85)</f>
        <v/>
      </c>
    </row>
    <row r="134" spans="1:17" ht="16.5" thickTop="1" thickBot="1" x14ac:dyDescent="0.3">
      <c r="A134" s="73" t="str">
        <f>myRGB(D134,E134,F134)</f>
        <v/>
      </c>
      <c r="B134" s="5" t="s">
        <v>187</v>
      </c>
      <c r="C134" s="6" t="s">
        <v>188</v>
      </c>
      <c r="D134" s="11">
        <v>238</v>
      </c>
      <c r="E134" s="12">
        <v>130</v>
      </c>
      <c r="F134" s="13">
        <v>238</v>
      </c>
      <c r="G134" s="7">
        <v>300</v>
      </c>
      <c r="H134" s="163">
        <v>0.76</v>
      </c>
      <c r="I134" s="164">
        <v>0.72</v>
      </c>
      <c r="J134" s="163">
        <v>0.45</v>
      </c>
      <c r="K134" s="164">
        <v>0.93</v>
      </c>
      <c r="L134" s="18">
        <f>G134/360*255</f>
        <v>212.5</v>
      </c>
      <c r="M134" s="19">
        <f>H134*255</f>
        <v>193.8</v>
      </c>
      <c r="N134" s="20">
        <f>I134*255</f>
        <v>183.6</v>
      </c>
      <c r="O134" s="455" t="str">
        <f>myRGBLuminance(D134,E134,F134,235)</f>
        <v/>
      </c>
      <c r="P134" s="456" t="str">
        <f>myRGBLuminance(D134,E134,F134,180)</f>
        <v/>
      </c>
      <c r="Q134" s="457" t="str">
        <f>myRGBLuminance(D134,E134,F134,85)</f>
        <v/>
      </c>
    </row>
    <row r="135" spans="1:17" ht="16.5" thickTop="1" thickBot="1" x14ac:dyDescent="0.3">
      <c r="A135" s="74" t="str">
        <f>myRGB(D135,E135,F135)</f>
        <v/>
      </c>
      <c r="B135" s="166" t="s">
        <v>301</v>
      </c>
      <c r="C135" s="6" t="s">
        <v>154</v>
      </c>
      <c r="D135" s="11">
        <v>128</v>
      </c>
      <c r="E135" s="12">
        <v>0</v>
      </c>
      <c r="F135" s="13">
        <v>128</v>
      </c>
      <c r="G135" s="7">
        <v>300</v>
      </c>
      <c r="H135" s="163">
        <v>1</v>
      </c>
      <c r="I135" s="164">
        <v>0.25</v>
      </c>
      <c r="J135" s="163">
        <v>1</v>
      </c>
      <c r="K135" s="164">
        <v>0.5</v>
      </c>
      <c r="L135" s="18">
        <f>G135/360*255</f>
        <v>212.5</v>
      </c>
      <c r="M135" s="19">
        <f>H135*255</f>
        <v>255</v>
      </c>
      <c r="N135" s="20">
        <f>I135*255</f>
        <v>63.75</v>
      </c>
      <c r="O135" s="458" t="str">
        <f>myRGBLuminance(D135,E135,F135,235)</f>
        <v/>
      </c>
      <c r="P135" s="459" t="str">
        <f>myRGBLuminance(D135,E135,F135,180)</f>
        <v/>
      </c>
      <c r="Q135" s="460" t="str">
        <f>myRGBLuminance(D135,E135,F135,85)</f>
        <v/>
      </c>
    </row>
    <row r="136" spans="1:17" ht="16.5" thickTop="1" thickBot="1" x14ac:dyDescent="0.3">
      <c r="A136" s="59" t="str">
        <f>myRGB(D136,E136,F136)</f>
        <v/>
      </c>
      <c r="B136" s="5" t="s">
        <v>222</v>
      </c>
      <c r="C136" s="6" t="s">
        <v>44</v>
      </c>
      <c r="D136" s="11">
        <v>139</v>
      </c>
      <c r="E136" s="12">
        <v>0</v>
      </c>
      <c r="F136" s="13">
        <v>139</v>
      </c>
      <c r="G136" s="7">
        <v>300</v>
      </c>
      <c r="H136" s="163">
        <v>1</v>
      </c>
      <c r="I136" s="164">
        <v>0.27</v>
      </c>
      <c r="J136" s="163">
        <v>1</v>
      </c>
      <c r="K136" s="164">
        <v>0.55000000000000004</v>
      </c>
      <c r="L136" s="18">
        <f>G136/360*255</f>
        <v>212.5</v>
      </c>
      <c r="M136" s="19">
        <f>H136*255</f>
        <v>255</v>
      </c>
      <c r="N136" s="20">
        <f>I136*255</f>
        <v>68.850000000000009</v>
      </c>
      <c r="O136" s="458" t="str">
        <f>myRGBLuminance(D136,E136,F136,235)</f>
        <v/>
      </c>
      <c r="P136" s="459" t="str">
        <f>myRGBLuminance(D136,E136,F136,180)</f>
        <v/>
      </c>
      <c r="Q136" s="460" t="str">
        <f>myRGBLuminance(D136,E136,F136,85)</f>
        <v/>
      </c>
    </row>
    <row r="137" spans="1:17" ht="16.5" thickTop="1" thickBot="1" x14ac:dyDescent="0.3">
      <c r="A137" s="32" t="str">
        <f>myRGB(D137,E137,F137)</f>
        <v/>
      </c>
      <c r="B137" s="5" t="s">
        <v>63</v>
      </c>
      <c r="C137" s="6" t="s">
        <v>64</v>
      </c>
      <c r="D137" s="11">
        <v>255</v>
      </c>
      <c r="E137" s="12">
        <v>0</v>
      </c>
      <c r="F137" s="13">
        <v>255</v>
      </c>
      <c r="G137" s="7">
        <v>300</v>
      </c>
      <c r="H137" s="163">
        <v>1</v>
      </c>
      <c r="I137" s="164">
        <v>0.5</v>
      </c>
      <c r="J137" s="163">
        <v>1</v>
      </c>
      <c r="K137" s="164">
        <v>1</v>
      </c>
      <c r="L137" s="18">
        <f>G137/360*255</f>
        <v>212.5</v>
      </c>
      <c r="M137" s="19">
        <f>H137*255</f>
        <v>255</v>
      </c>
      <c r="N137" s="20">
        <f>I137*255</f>
        <v>127.5</v>
      </c>
      <c r="O137" s="458" t="str">
        <f>myRGBLuminance(D137,E137,F137,235)</f>
        <v/>
      </c>
      <c r="P137" s="459" t="str">
        <f>myRGBLuminance(D137,E137,F137,180)</f>
        <v/>
      </c>
      <c r="Q137" s="460" t="str">
        <f>myRGBLuminance(D137,E137,F137,85)</f>
        <v/>
      </c>
    </row>
    <row r="138" spans="1:17" ht="16.5" thickTop="1" thickBot="1" x14ac:dyDescent="0.3">
      <c r="A138" s="32" t="str">
        <f>myRGB(D138,E138,F138)</f>
        <v/>
      </c>
      <c r="B138" s="5" t="s">
        <v>65</v>
      </c>
      <c r="C138" s="6" t="s">
        <v>64</v>
      </c>
      <c r="D138" s="11">
        <v>255</v>
      </c>
      <c r="E138" s="12">
        <v>0</v>
      </c>
      <c r="F138" s="13">
        <v>255</v>
      </c>
      <c r="G138" s="7">
        <v>300</v>
      </c>
      <c r="H138" s="163">
        <v>1</v>
      </c>
      <c r="I138" s="164">
        <v>0.5</v>
      </c>
      <c r="J138" s="163">
        <v>1</v>
      </c>
      <c r="K138" s="164">
        <v>1</v>
      </c>
      <c r="L138" s="18">
        <f>G138/360*255</f>
        <v>212.5</v>
      </c>
      <c r="M138" s="19">
        <f>H138*255</f>
        <v>255</v>
      </c>
      <c r="N138" s="20">
        <f>I138*255</f>
        <v>127.5</v>
      </c>
      <c r="O138" s="458" t="str">
        <f>myRGBLuminance(D138,E138,F138,235)</f>
        <v/>
      </c>
      <c r="P138" s="459" t="str">
        <f>myRGBLuminance(D138,E138,F138,180)</f>
        <v/>
      </c>
      <c r="Q138" s="460" t="str">
        <f>myRGBLuminance(D138,E138,F138,85)</f>
        <v/>
      </c>
    </row>
    <row r="139" spans="1:17" ht="16.5" thickTop="1" thickBot="1" x14ac:dyDescent="0.3">
      <c r="A139" s="155" t="str">
        <f>myRGB(D139,E139,F139)</f>
        <v/>
      </c>
      <c r="B139" s="5" t="s">
        <v>137</v>
      </c>
      <c r="C139" s="6" t="s">
        <v>138</v>
      </c>
      <c r="D139" s="11">
        <v>218</v>
      </c>
      <c r="E139" s="12">
        <v>112</v>
      </c>
      <c r="F139" s="13">
        <v>214</v>
      </c>
      <c r="G139" s="7">
        <v>302</v>
      </c>
      <c r="H139" s="163">
        <v>0.59</v>
      </c>
      <c r="I139" s="164">
        <v>0.65</v>
      </c>
      <c r="J139" s="163">
        <v>0.49</v>
      </c>
      <c r="K139" s="164">
        <v>0.85</v>
      </c>
      <c r="L139" s="18">
        <f>G139/360*255</f>
        <v>213.91666666666666</v>
      </c>
      <c r="M139" s="19">
        <f>H139*255</f>
        <v>150.44999999999999</v>
      </c>
      <c r="N139" s="20">
        <f>I139*255</f>
        <v>165.75</v>
      </c>
      <c r="O139" s="461" t="str">
        <f>myRGBLuminance(D139,E139,F139,235)</f>
        <v/>
      </c>
      <c r="P139" s="462" t="str">
        <f>myRGBLuminance(D139,E139,F139,180)</f>
        <v/>
      </c>
      <c r="Q139" s="463" t="str">
        <f>myRGBLuminance(D139,E139,F139,85)</f>
        <v/>
      </c>
    </row>
    <row r="140" spans="1:17" ht="16.5" thickTop="1" thickBot="1" x14ac:dyDescent="0.3">
      <c r="A140" s="114" t="str">
        <f>myRGB(D140,E140,F140)</f>
        <v/>
      </c>
      <c r="B140" s="5" t="s">
        <v>268</v>
      </c>
      <c r="C140" s="6" t="s">
        <v>122</v>
      </c>
      <c r="D140" s="11">
        <v>199</v>
      </c>
      <c r="E140" s="12">
        <v>21</v>
      </c>
      <c r="F140" s="13">
        <v>133</v>
      </c>
      <c r="G140" s="7">
        <v>322</v>
      </c>
      <c r="H140" s="163">
        <v>0.81</v>
      </c>
      <c r="I140" s="164">
        <v>0.43</v>
      </c>
      <c r="J140" s="163">
        <v>0.89</v>
      </c>
      <c r="K140" s="164">
        <v>0.78</v>
      </c>
      <c r="L140" s="18">
        <f>G140/360*255</f>
        <v>228.08333333333334</v>
      </c>
      <c r="M140" s="19">
        <f>H140*255</f>
        <v>206.55</v>
      </c>
      <c r="N140" s="20">
        <f>I140*255</f>
        <v>109.64999999999999</v>
      </c>
      <c r="O140" s="464" t="str">
        <f>myRGBLuminance(D140,E140,F140,235)</f>
        <v/>
      </c>
      <c r="P140" s="465" t="str">
        <f>myRGBLuminance(D140,E140,F140,180)</f>
        <v/>
      </c>
      <c r="Q140" s="466" t="str">
        <f>myRGBLuminance(D140,E140,F140,85)</f>
        <v/>
      </c>
    </row>
    <row r="141" spans="1:17" ht="16.5" thickTop="1" thickBot="1" x14ac:dyDescent="0.3">
      <c r="A141" s="87" t="str">
        <f>myRGB(D141,E141,F141)</f>
        <v/>
      </c>
      <c r="B141" s="5" t="s">
        <v>233</v>
      </c>
      <c r="C141" s="6" t="s">
        <v>55</v>
      </c>
      <c r="D141" s="11">
        <v>255</v>
      </c>
      <c r="E141" s="12">
        <v>20</v>
      </c>
      <c r="F141" s="13">
        <v>147</v>
      </c>
      <c r="G141" s="7">
        <v>328</v>
      </c>
      <c r="H141" s="163">
        <v>1</v>
      </c>
      <c r="I141" s="164">
        <v>0.54</v>
      </c>
      <c r="J141" s="163">
        <v>0.92</v>
      </c>
      <c r="K141" s="164">
        <v>1</v>
      </c>
      <c r="L141" s="18">
        <f>G141/360*255</f>
        <v>232.33333333333334</v>
      </c>
      <c r="M141" s="19">
        <f>H141*255</f>
        <v>255</v>
      </c>
      <c r="N141" s="20">
        <f>I141*255</f>
        <v>137.70000000000002</v>
      </c>
      <c r="O141" s="467" t="str">
        <f>myRGBLuminance(D141,E141,F141,235)</f>
        <v/>
      </c>
      <c r="P141" s="468" t="str">
        <f>myRGBLuminance(D141,E141,F141,180)</f>
        <v/>
      </c>
      <c r="Q141" s="469" t="str">
        <f>myRGBLuminance(D141,E141,F141,85)</f>
        <v/>
      </c>
    </row>
    <row r="142" spans="1:17" ht="16.5" thickTop="1" thickBot="1" x14ac:dyDescent="0.3">
      <c r="A142" s="149" t="str">
        <f>myRGB(D142,E142,F142)</f>
        <v/>
      </c>
      <c r="B142" s="5" t="s">
        <v>241</v>
      </c>
      <c r="C142" s="6" t="s">
        <v>81</v>
      </c>
      <c r="D142" s="11">
        <v>255</v>
      </c>
      <c r="E142" s="12">
        <v>105</v>
      </c>
      <c r="F142" s="13">
        <v>180</v>
      </c>
      <c r="G142" s="7">
        <v>330</v>
      </c>
      <c r="H142" s="163">
        <v>1</v>
      </c>
      <c r="I142" s="164">
        <v>0.71</v>
      </c>
      <c r="J142" s="163">
        <v>0.59</v>
      </c>
      <c r="K142" s="164">
        <v>1</v>
      </c>
      <c r="L142" s="18">
        <f>G142/360*255</f>
        <v>233.75</v>
      </c>
      <c r="M142" s="19">
        <f>H142*255</f>
        <v>255</v>
      </c>
      <c r="N142" s="20">
        <f>I142*255</f>
        <v>181.04999999999998</v>
      </c>
      <c r="O142" s="470" t="str">
        <f>myRGBLuminance(D142,E142,F142,235)</f>
        <v/>
      </c>
      <c r="P142" s="471" t="str">
        <f>myRGBLuminance(D142,E142,F142,180)</f>
        <v/>
      </c>
      <c r="Q142" s="472" t="str">
        <f>myRGBLuminance(D142,E142,F142,85)</f>
        <v/>
      </c>
    </row>
    <row r="143" spans="1:17" ht="16.5" thickTop="1" thickBot="1" x14ac:dyDescent="0.3">
      <c r="A143" s="49" t="str">
        <f>myRGB(D143,E143,F143)</f>
        <v/>
      </c>
      <c r="B143" s="5" t="s">
        <v>111</v>
      </c>
      <c r="C143" s="6" t="s">
        <v>112</v>
      </c>
      <c r="D143" s="11">
        <v>176</v>
      </c>
      <c r="E143" s="12">
        <v>48</v>
      </c>
      <c r="F143" s="13">
        <v>96</v>
      </c>
      <c r="G143" s="7">
        <v>338</v>
      </c>
      <c r="H143" s="163">
        <v>0.56999999999999995</v>
      </c>
      <c r="I143" s="164">
        <v>0.44</v>
      </c>
      <c r="J143" s="163">
        <v>0.73</v>
      </c>
      <c r="K143" s="164">
        <v>0.69</v>
      </c>
      <c r="L143" s="18">
        <f>G143/360*255</f>
        <v>239.41666666666666</v>
      </c>
      <c r="M143" s="19">
        <f>H143*255</f>
        <v>145.35</v>
      </c>
      <c r="N143" s="20">
        <f>I143*255</f>
        <v>112.2</v>
      </c>
      <c r="O143" s="473" t="str">
        <f>myRGBLuminance(D143,E143,F143,235)</f>
        <v/>
      </c>
      <c r="P143" s="474" t="str">
        <f>myRGBLuminance(D143,E143,F143,180)</f>
        <v/>
      </c>
      <c r="Q143" s="475" t="str">
        <f>myRGBLuminance(D143,E143,F143,85)</f>
        <v/>
      </c>
    </row>
    <row r="144" spans="1:17" ht="16.5" thickTop="1" thickBot="1" x14ac:dyDescent="0.3">
      <c r="A144" s="116" t="str">
        <f>myRGB(D144,E144,F144)</f>
        <v/>
      </c>
      <c r="B144" s="5" t="s">
        <v>279</v>
      </c>
      <c r="C144" s="6" t="s">
        <v>142</v>
      </c>
      <c r="D144" s="11">
        <v>219</v>
      </c>
      <c r="E144" s="12">
        <v>112</v>
      </c>
      <c r="F144" s="13">
        <v>147</v>
      </c>
      <c r="G144" s="7">
        <v>340</v>
      </c>
      <c r="H144" s="163">
        <v>0.6</v>
      </c>
      <c r="I144" s="164">
        <v>0.65</v>
      </c>
      <c r="J144" s="163">
        <v>0.49</v>
      </c>
      <c r="K144" s="164">
        <v>0.86</v>
      </c>
      <c r="L144" s="18">
        <f>G144/360*255</f>
        <v>240.83333333333331</v>
      </c>
      <c r="M144" s="19">
        <f>H144*255</f>
        <v>153</v>
      </c>
      <c r="N144" s="20">
        <f>I144*255</f>
        <v>165.75</v>
      </c>
      <c r="O144" s="476" t="str">
        <f>myRGBLuminance(D144,E144,F144,235)</f>
        <v/>
      </c>
      <c r="P144" s="477" t="str">
        <f>myRGBLuminance(D144,E144,F144,180)</f>
        <v/>
      </c>
      <c r="Q144" s="478" t="str">
        <f>myRGBLuminance(D144,E144,F144,85)</f>
        <v/>
      </c>
    </row>
    <row r="145" spans="1:17" ht="16.5" thickTop="1" thickBot="1" x14ac:dyDescent="0.3">
      <c r="A145" s="98" t="str">
        <f>myRGB(D145,E145,F145)</f>
        <v/>
      </c>
      <c r="B145" s="5" t="s">
        <v>243</v>
      </c>
      <c r="C145" s="6" t="s">
        <v>91</v>
      </c>
      <c r="D145" s="11">
        <v>255</v>
      </c>
      <c r="E145" s="12">
        <v>240</v>
      </c>
      <c r="F145" s="13">
        <v>245</v>
      </c>
      <c r="G145" s="7">
        <v>340</v>
      </c>
      <c r="H145" s="163">
        <v>1</v>
      </c>
      <c r="I145" s="164">
        <v>0.97</v>
      </c>
      <c r="J145" s="163">
        <v>0.06</v>
      </c>
      <c r="K145" s="164">
        <v>1</v>
      </c>
      <c r="L145" s="18">
        <f>G145/360*255</f>
        <v>240.83333333333331</v>
      </c>
      <c r="M145" s="19">
        <f>H145*255</f>
        <v>255</v>
      </c>
      <c r="N145" s="20">
        <f>I145*255</f>
        <v>247.35</v>
      </c>
      <c r="O145" s="479" t="str">
        <f>myRGBLuminance(D145,E145,F145,235)</f>
        <v/>
      </c>
      <c r="P145" s="480" t="str">
        <f>myRGBLuminance(D145,E145,F145,180)</f>
        <v/>
      </c>
      <c r="Q145" s="481" t="str">
        <f>myRGBLuminance(D145,E145,F145,85)</f>
        <v/>
      </c>
    </row>
    <row r="146" spans="1:17" ht="16.5" thickTop="1" thickBot="1" x14ac:dyDescent="0.3">
      <c r="A146" s="58" t="str">
        <f>myRGB(D146,E146,F146)</f>
        <v/>
      </c>
      <c r="B146" s="5" t="s">
        <v>36</v>
      </c>
      <c r="C146" s="6" t="s">
        <v>37</v>
      </c>
      <c r="D146" s="11">
        <v>220</v>
      </c>
      <c r="E146" s="12">
        <v>20</v>
      </c>
      <c r="F146" s="13">
        <v>60</v>
      </c>
      <c r="G146" s="7">
        <v>348</v>
      </c>
      <c r="H146" s="163">
        <v>0.83</v>
      </c>
      <c r="I146" s="164">
        <v>0.47</v>
      </c>
      <c r="J146" s="163">
        <v>0.91</v>
      </c>
      <c r="K146" s="164">
        <v>0.86</v>
      </c>
      <c r="L146" s="18">
        <f>G146/360*255</f>
        <v>246.5</v>
      </c>
      <c r="M146" s="19">
        <f>H146*255</f>
        <v>211.64999999999998</v>
      </c>
      <c r="N146" s="20">
        <f>I146*255</f>
        <v>119.85</v>
      </c>
      <c r="O146" s="482" t="str">
        <f>myRGBLuminance(D146,E146,F146,235)</f>
        <v/>
      </c>
      <c r="P146" s="483" t="str">
        <f>myRGBLuminance(D146,E146,F146,180)</f>
        <v/>
      </c>
      <c r="Q146" s="484" t="str">
        <f>myRGBLuminance(D146,E146,F146,85)</f>
        <v/>
      </c>
    </row>
    <row r="147" spans="1:17" ht="16.5" thickTop="1" thickBot="1" x14ac:dyDescent="0.3">
      <c r="A147" s="156" t="str">
        <f>myRGB(D147,E147,F147)</f>
        <v/>
      </c>
      <c r="B147" s="5" t="s">
        <v>147</v>
      </c>
      <c r="C147" s="6" t="s">
        <v>148</v>
      </c>
      <c r="D147" s="11">
        <v>255</v>
      </c>
      <c r="E147" s="12">
        <v>192</v>
      </c>
      <c r="F147" s="13">
        <v>203</v>
      </c>
      <c r="G147" s="7">
        <v>350</v>
      </c>
      <c r="H147" s="163">
        <v>1</v>
      </c>
      <c r="I147" s="164">
        <v>0.88</v>
      </c>
      <c r="J147" s="163">
        <v>0.25</v>
      </c>
      <c r="K147" s="164">
        <v>1</v>
      </c>
      <c r="L147" s="18">
        <f>G147/360*255</f>
        <v>247.91666666666666</v>
      </c>
      <c r="M147" s="19">
        <f>H147*255</f>
        <v>255</v>
      </c>
      <c r="N147" s="20">
        <f>I147*255</f>
        <v>224.4</v>
      </c>
      <c r="O147" s="485" t="str">
        <f>myRGBLuminance(D147,E147,F147,235)</f>
        <v/>
      </c>
      <c r="P147" s="486" t="str">
        <f>myRGBLuminance(D147,E147,F147,180)</f>
        <v/>
      </c>
      <c r="Q147" s="487" t="str">
        <f>myRGBLuminance(D147,E147,F147,85)</f>
        <v/>
      </c>
    </row>
    <row r="148" spans="1:17" ht="16.5" thickTop="1" thickBot="1" x14ac:dyDescent="0.3">
      <c r="A148" s="139" t="str">
        <f>myRGB(D148,E148,F148)</f>
        <v/>
      </c>
      <c r="B148" s="5" t="s">
        <v>252</v>
      </c>
      <c r="C148" s="6" t="s">
        <v>100</v>
      </c>
      <c r="D148" s="11">
        <v>255</v>
      </c>
      <c r="E148" s="12">
        <v>182</v>
      </c>
      <c r="F148" s="13">
        <v>193</v>
      </c>
      <c r="G148" s="7">
        <v>351</v>
      </c>
      <c r="H148" s="163">
        <v>1</v>
      </c>
      <c r="I148" s="164">
        <v>0.86</v>
      </c>
      <c r="J148" s="163">
        <v>0.28999999999999998</v>
      </c>
      <c r="K148" s="164">
        <v>1</v>
      </c>
      <c r="L148" s="18">
        <f>G148/360*255</f>
        <v>248.625</v>
      </c>
      <c r="M148" s="19">
        <f>H148*255</f>
        <v>255</v>
      </c>
      <c r="N148" s="20">
        <f>I148*255</f>
        <v>219.29999999999998</v>
      </c>
      <c r="O148" s="488" t="str">
        <f>myRGBLuminance(D148,E148,F148,235)</f>
        <v/>
      </c>
      <c r="P148" s="489" t="str">
        <f>myRGBLuminance(D148,E148,F148,180)</f>
        <v/>
      </c>
      <c r="Q148" s="490" t="str">
        <f>myRGBLuminance(D148,E148,F148,85)</f>
        <v/>
      </c>
    </row>
    <row r="149" spans="1:17" ht="15.75" thickTop="1" x14ac:dyDescent="0.25"/>
  </sheetData>
  <sortState xmlns:xlrd2="http://schemas.microsoft.com/office/spreadsheetml/2017/richdata2" ref="A2:Q148">
    <sortCondition ref="G2:G148"/>
    <sortCondition ref="H2:H148"/>
    <sortCondition ref="I2:I148"/>
  </sortState>
  <hyperlinks>
    <hyperlink ref="C1" r:id="rId1" location="Hex_triplet" tooltip="Web colors" display="https://en.wikipedia.org/wiki/Web_colors - Hex_triplet" xr:uid="{7BE70946-71E0-4222-A27D-61D64483BAA9}"/>
    <hyperlink ref="D1" r:id="rId2" tooltip="RGB" display="https://en.wikipedia.org/wiki/RGB" xr:uid="{F42E062C-5020-4887-8B34-11A594E6A574}"/>
    <hyperlink ref="E1" r:id="rId3" tooltip="RGB" display="https://en.wikipedia.org/wiki/RGB" xr:uid="{BDC4BC72-5867-47E8-BFCC-5E8966971746}"/>
    <hyperlink ref="F1" r:id="rId4" tooltip="RGB" display="https://en.wikipedia.org/wiki/RGB" xr:uid="{C38CC0EC-B74B-4CDA-A9FB-37BA79DC4DFA}"/>
    <hyperlink ref="G1" r:id="rId5" location="Hue" tooltip="HSL and HSV" display="Hue" xr:uid="{1F07DAD6-6807-4B6D-A3B7-3A075BE5C90E}"/>
    <hyperlink ref="H1" r:id="rId6" location="Saturation" tooltip="HSL and HSV" display="Saturation" xr:uid="{75EC2304-93E2-4DEA-B7EC-90C8765A4080}"/>
    <hyperlink ref="I1" r:id="rId7" location="Lightness" tooltip="HSL and HSV" display="https://en.wikipedia.org/wiki/HSL_and_HSV - Lightness" xr:uid="{BCF4A033-37FF-45DC-BDBD-335138BB5B38}"/>
    <hyperlink ref="J1" r:id="rId8" location="Saturation" tooltip="HSL and HSV" display="https://en.wikipedia.org/wiki/HSL_and_HSV - Saturation" xr:uid="{B7E6946F-9FB3-47D5-B519-B872DF03A175}"/>
    <hyperlink ref="K1" r:id="rId9" location="Lightness" tooltip="HSL and HSV" display="https://en.wikipedia.org/wiki/HSL_and_HSV - Lightness" xr:uid="{C5CB80DB-FF6E-420B-8DCE-CEB1D0AD49AC}"/>
    <hyperlink ref="B107" r:id="rId10" tooltip="Alice blue" display="https://en.wikipedia.org/wiki/Alice_blue" xr:uid="{462A61C4-9ED6-447A-B3F9-70E39A4B7B04}"/>
    <hyperlink ref="B41" r:id="rId11" tooltip="Antique white" display="https://en.wikipedia.org/wiki/Antique_white" xr:uid="{9D5BF26F-9B39-4623-B6DB-CE4099C0C734}"/>
    <hyperlink ref="B95" r:id="rId12" tooltip="Aqua (color)" display="https://en.wikipedia.org/wiki/Aqua_(color)" xr:uid="{8BCF1E77-C1BA-45C0-97D3-86848EDB5C2A}"/>
    <hyperlink ref="B87" r:id="rId13" tooltip="Aquamarine (color)" display="https://en.wikipedia.org/wiki/Aquamarine_(color)" xr:uid="{9C8DC264-522A-4BE4-A9BE-D11200980CC7}"/>
    <hyperlink ref="B98" r:id="rId14" tooltip="Azure (color)" display="https://en.wikipedia.org/wiki/Azure_(color)" xr:uid="{0ED8820F-C32C-4D52-A019-9078F877FE4B}"/>
    <hyperlink ref="B58" r:id="rId15" tooltip="Beige" display="https://en.wikipedia.org/wiki/Beige" xr:uid="{2479E6D4-DD4C-41BC-8F71-89A30C33BEC3}"/>
    <hyperlink ref="B2" r:id="rId16" tooltip="Black" display="https://en.wikipedia.org/wiki/Black" xr:uid="{F8FA9774-8531-4D47-8CE5-B2F5BE2E36DA}"/>
    <hyperlink ref="B119" r:id="rId17" tooltip="Blue" display="https://en.wikipedia.org/wiki/Blue" xr:uid="{329A44A7-3334-4330-A4BD-001011809956}"/>
    <hyperlink ref="B126" r:id="rId18" tooltip="Indigo" display="https://en.wikipedia.org/wiki/Indigo" xr:uid="{F1184C1E-887D-40ED-8CE3-6EC633105E37}"/>
    <hyperlink ref="B15" r:id="rId19" location="Red-brown" tooltip="Brown" display="https://en.wikipedia.org/wiki/Brown - Red-brown" xr:uid="{AB43BD6D-11F3-45D1-A410-68D59BEFBE2E}"/>
    <hyperlink ref="B100" r:id="rId20" location="Cadet_blue" tooltip="Cadet grey" display="https://en.wikipedia.org/wiki/Cadet_grey - Cadet_blue" xr:uid="{C68BB013-57EA-40F2-AAB6-8B2C6F718BB4}"/>
    <hyperlink ref="B69" r:id="rId21" tooltip="Chartreuse (color)" display="https://en.wikipedia.org/wiki/Chartreuse_(color)" xr:uid="{EA0D0146-9354-4CDE-8CCF-2275643AE0CF}"/>
    <hyperlink ref="B30" r:id="rId22" location="Cocoa_brown" tooltip="Chocolate (color)" display="https://en.wikipedia.org/wiki/Chocolate_(color) - Cocoa_brown" xr:uid="{763A99C5-DF92-4C8E-8089-DC428CF59F79}"/>
    <hyperlink ref="B27" r:id="rId23" tooltip="Coral (color)" display="https://en.wikipedia.org/wiki/Coral_(color)" xr:uid="{27D088D9-C723-4987-B787-3AE9A9262C6B}"/>
    <hyperlink ref="B112" r:id="rId24" tooltip="Cornflower blue" display="https://en.wikipedia.org/wiki/Cornflower_blue" xr:uid="{939DF697-1B90-4279-890B-016AFAC6C5CB}"/>
    <hyperlink ref="B146" r:id="rId25" tooltip="Crimson" display="https://en.wikipedia.org/wiki/Crimson" xr:uid="{ECB665EC-3A1D-4468-AA27-67BAB7FB2392}"/>
    <hyperlink ref="B96" r:id="rId26" tooltip="Cyan" display="https://en.wikipedia.org/wiki/Cyan" xr:uid="{FA219A7F-1949-4DE8-B126-309CD63781F4}"/>
    <hyperlink ref="B117" r:id="rId27" location="Dark_blue" tooltip="Variations of blue" display="https://en.wikipedia.org/wiki/Variations_of_blue - Dark_blue" xr:uid="{FA3B8880-819D-4563-BE83-8AC4407110AF}"/>
    <hyperlink ref="B94" r:id="rId28" location="Dark_cyan" tooltip="Cyan" display="https://en.wikipedia.org/wiki/Cyan - Dark_cyan" xr:uid="{5418F84F-B9D2-4C7A-9C48-378410DB744F}"/>
    <hyperlink ref="B51" r:id="rId29" tooltip="Dark goldenrod" display="https://en.wikipedia.org/wiki/Dark_goldenrod" xr:uid="{93536116-5F74-42E4-B9D5-D0C23906B17F}"/>
    <hyperlink ref="B5" r:id="rId30" location="Web_colors" tooltip="Grey" display="Web_colors" xr:uid="{F4725C18-1FFF-43F4-B0A2-77AC4E8769C4}"/>
    <hyperlink ref="B75" r:id="rId31" location="Dark_green" tooltip="Variations of green" display="https://en.wikipedia.org/wiki/Variations_of_green - Dark_green" xr:uid="{F25F0198-5D2C-45A8-8648-C58F9C2DF70E}"/>
    <hyperlink ref="B57" r:id="rId32" location="Web_color_dark_khaki" tooltip="Khaki (color)" display="https://en.wikipedia.org/wiki/Khaki_(color) - Web_color_dark_khaki" xr:uid="{2F302D44-9C34-4B4B-BA66-C18EED15C18E}"/>
    <hyperlink ref="B136" r:id="rId33" location="Dark_magenta" tooltip="Variations of magenta" display="https://en.wikipedia.org/wiki/Variations_of_magenta - Dark_magenta" xr:uid="{2973E707-385A-427D-8C15-037B2CBBB156}"/>
    <hyperlink ref="B66" r:id="rId34" location="Dark_olive_green" tooltip="Olive (color)" display="https://en.wikipedia.org/wiki/Olive_(color) - Dark_olive_green" xr:uid="{B935127C-CFC8-4E74-9B8E-E0FB6F0361DE}"/>
    <hyperlink ref="B37" r:id="rId35" tooltip="Dark orange (colour)" display="https://en.wikipedia.org/wiki/Dark_orange_(colour)" xr:uid="{83343C41-E4C7-4C83-87B1-BD407918A9AF}"/>
    <hyperlink ref="B129" r:id="rId36" location="Dark_orchid" tooltip="Orchid (color)" display="https://en.wikipedia.org/wiki/Orchid_(color) - Dark_orchid" xr:uid="{9CAAFFE3-867D-43EA-97E5-6F4F9C0B82C7}"/>
    <hyperlink ref="B19" r:id="rId37" location="Dark_red" tooltip="Maroon (color)" display="https://en.wikipedia.org/wiki/Maroon_(color) - Dark_red" xr:uid="{6245FF48-6016-4CE3-88CF-21969691B747}"/>
    <hyperlink ref="B25" r:id="rId38" tooltip="Dark salmon" display="https://en.wikipedia.org/wiki/Dark_salmon" xr:uid="{36A7B771-424F-42C9-A44C-571691673320}"/>
    <hyperlink ref="B91" r:id="rId39" location="Dark_slate_gray" tooltip="Slate gray" display="https://en.wikipedia.org/wiki/Slate_gray - Dark_slate_gray" xr:uid="{05DD7600-BCAF-49A9-95C9-BE9AB31F47E4}"/>
    <hyperlink ref="B99" r:id="rId40" location="Dark_turquoise" tooltip="Turquoise (color)" display="https://en.wikipedia.org/wiki/Turquoise_(color) - Dark_turquoise" xr:uid="{922DF0D8-C69B-48E0-8185-B82C2018D207}"/>
    <hyperlink ref="B130" r:id="rId41" tooltip="Violet (color)" display="https://en.wikipedia.org/wiki/Violet_(color)" xr:uid="{66B277E5-6F75-4498-BF73-4DBAAF6C2E35}"/>
    <hyperlink ref="B141" r:id="rId42" location="Deep_pink" tooltip="Variations of pink" display="https://en.wikipedia.org/wiki/Variations_of_pink - Deep_pink" xr:uid="{13798EC7-C0C9-46D5-A071-8F1E3AB57980}"/>
    <hyperlink ref="B103" r:id="rId43" tooltip="Deep sky blue" display="https://en.wikipedia.org/wiki/Deep_sky_blue" xr:uid="{7AA542EE-A86F-4FCE-88F3-1B66041A6F0F}"/>
    <hyperlink ref="B3" r:id="rId44" location="Dim_gray" tooltip="Shades of gray" display="https://en.wikipedia.org/wiki/Shades_of_gray - Dim_gray" xr:uid="{2DB7B793-146F-450A-A127-503181A7CD25}"/>
    <hyperlink ref="B110" r:id="rId45" tooltip="Dodger blue" display="https://en.wikipedia.org/wiki/Dodger_blue" xr:uid="{4D3C3EB4-D2A9-4979-BA7E-10D26358D681}"/>
    <hyperlink ref="B16" r:id="rId46" location="Fire_brick" tooltip="Scarlet (color)" display="https://en.wikipedia.org/wiki/Scarlet_(color) - Fire_brick" xr:uid="{07A3AF42-FD09-4E4E-8CAF-553A0D99199D}"/>
    <hyperlink ref="B71" r:id="rId47" location="Forest_green" tooltip="Variations of green" display="https://en.wikipedia.org/wiki/Variations_of_green - Forest_green" xr:uid="{95958CE3-02BB-48DC-8F51-1F129341E434}"/>
    <hyperlink ref="B137" r:id="rId48" tooltip="Fuchsia (color)" display="https://en.wikipedia.org/wiki/Fuchsia_(color)" xr:uid="{79052CB1-2CB3-44D7-BD07-F4DB795578ED}"/>
    <hyperlink ref="B9" r:id="rId49" location="Gainsboro" tooltip="Variations of gray" display="https://en.wikipedia.org/wiki/Variations_of_gray - Gainsboro" xr:uid="{B20D93DD-943C-47EB-8DBF-CD2DB1FA6CB3}"/>
    <hyperlink ref="B120" r:id="rId50" tooltip="Ghost white" display="https://en.wikipedia.org/wiki/Ghost_white" xr:uid="{84833C11-3DBE-414A-9035-7EDDD538A49D}"/>
    <hyperlink ref="B53" r:id="rId51" tooltip="Gold (color)" display="https://en.wikipedia.org/wiki/Gold_(color)" xr:uid="{ECF2F900-5B07-4165-8505-E0CBFBE9B222}"/>
    <hyperlink ref="B50" r:id="rId52" tooltip="Goldenrod (color)" display="https://en.wikipedia.org/wiki/Goldenrod_(color)" xr:uid="{11113B8E-E834-4C80-874C-BF0C29B6AA9A}"/>
    <hyperlink ref="B6" r:id="rId53" tooltip="Grey" display="https://en.wikipedia.org/wiki/Grey" xr:uid="{1804C7AE-6BF2-4833-A7D1-26392C1A668D}"/>
    <hyperlink ref="B4" r:id="rId54" tooltip="Grey" display="https://en.wikipedia.org/wiki/Grey" xr:uid="{82D9DABB-1394-4A19-A32C-976286B373A3}"/>
    <hyperlink ref="B77" r:id="rId55" location="Computer_web_color_greens" tooltip="Variations of green" display="https://en.wikipedia.org/wiki/Variations_of_green - Computer_web_color_greens" xr:uid="{A39BAAA6-750F-4684-86BF-75D2CD8B5F93}"/>
    <hyperlink ref="B76" r:id="rId56" location="Computer_web_color_greens" tooltip="Variations of green" display="https://en.wikipedia.org/wiki/Variations_of_green - Computer_web_color_greens" xr:uid="{CC23DAE7-95B5-476F-A3FA-E78882CD1E52}"/>
    <hyperlink ref="B67" r:id="rId57" location="Green-yellow" tooltip="Chartreuse (color)" display="https://en.wikipedia.org/wiki/Chartreuse_(color) - Green-yellow" xr:uid="{E20871C1-672D-413E-ADB7-B66451AAC122}"/>
    <hyperlink ref="B79" r:id="rId58" location="Honeydew" tooltip="Spring green (color)" display="https://en.wikipedia.org/wiki/Spring_green_(color) - Honeydew" xr:uid="{360EDFDC-8432-414D-B205-830AD07E85EA}"/>
    <hyperlink ref="B142" r:id="rId59" tooltip="Hot pink" display="https://en.wikipedia.org/wiki/Hot_pink" xr:uid="{3E8808BB-AEE6-47D8-A546-DFF76B9E06F7}"/>
    <hyperlink ref="B14" r:id="rId60" tooltip="Indian red (color)" display="https://en.wikipedia.org/wiki/Indian_red_(color)" xr:uid="{F2F7976E-F8DB-42FC-B308-4B97DC2BAF04}"/>
    <hyperlink ref="B127" r:id="rId61" tooltip="Indigo" display="https://en.wikipedia.org/wiki/Indigo" xr:uid="{AAE22021-D49E-4BF0-9AC5-A13363F27372}"/>
    <hyperlink ref="B63" r:id="rId62" tooltip="Ivory (color)" display="https://en.wikipedia.org/wiki/Ivory_(color)" xr:uid="{D4330A5C-1802-4112-800B-6AC825FD96B7}"/>
    <hyperlink ref="B54" r:id="rId63" tooltip="Khaki" display="https://en.wikipedia.org/wiki/Khaki" xr:uid="{EB79BF44-AB66-4B4E-8C9F-85346079B517}"/>
    <hyperlink ref="B115" r:id="rId64" tooltip="Lavender (color)" display="https://en.wikipedia.org/wiki/Lavender_(color)" xr:uid="{909F7D37-B4C5-485F-ACCD-EF0627F048B5}"/>
    <hyperlink ref="B145" r:id="rId65" location="Lavender_blush" tooltip="Lavender (color)" display="https://en.wikipedia.org/wiki/Lavender_(color) - Lavender_blush" xr:uid="{9CECCA11-ECBE-412A-AA61-888B336DAA25}"/>
    <hyperlink ref="B68" r:id="rId66" location="Lawn_green" tooltip="Chartreuse (color)" display="https://en.wikipedia.org/wiki/Chartreuse_(color) - Lawn_green" xr:uid="{B8D0EA1B-F8E0-48F6-861E-C3D13B47154F}"/>
    <hyperlink ref="B55" r:id="rId67" location="Lemon_chiffon" tooltip="Lemon (color)" display="https://en.wikipedia.org/wiki/Lemon_(color) - Lemon_chiffon" xr:uid="{82CD6C74-80C2-4CFF-8114-F1AEA7F037D6}"/>
    <hyperlink ref="B102" r:id="rId68" location="Light_blue" tooltip="Variations of blue" display="https://en.wikipedia.org/wiki/Variations_of_blue - Light_blue" xr:uid="{E6D4E338-4A83-41C1-8A57-99B76C5C7E14}"/>
    <hyperlink ref="B17" r:id="rId69" tooltip="Light Coral" display="https://en.wikipedia.org/wiki/Light_Coral" xr:uid="{A3FE1B54-C483-4384-A88F-0545AC2E1DC7}"/>
    <hyperlink ref="B97" r:id="rId70" location="Light_cyan" tooltip="Shades of cyan" display="https://en.wikipedia.org/wiki/Shades_of_cyan - Light_cyan" xr:uid="{CC58CAE0-D350-4CD4-A589-EC1270039F40}"/>
    <hyperlink ref="B59" r:id="rId71" location="Light_goldenrod" tooltip="Goldenrod (color)" display="https://en.wikipedia.org/wiki/Goldenrod_(color) - Light_goldenrod" xr:uid="{40841438-041B-481F-B50A-5EEA34406F90}"/>
    <hyperlink ref="B8" r:id="rId72" location="Web_colors" tooltip="Grey" display="https://en.wikipedia.org/wiki/Grey - Web_colors" xr:uid="{4FB6AF28-F630-421D-A5CC-5A1DC68A5579}"/>
    <hyperlink ref="B73" r:id="rId73" location="Light_green" tooltip="Variations of green" display="https://en.wikipedia.org/wiki/Variations_of_green - Light_green" xr:uid="{383B23C1-C591-4AD6-9E33-9EA01C960690}"/>
    <hyperlink ref="B148" r:id="rId74" tooltip="Light pink" display="https://en.wikipedia.org/wiki/Light_pink" xr:uid="{A53C553D-0947-43B2-B507-75C97B4C91D1}"/>
    <hyperlink ref="B28" r:id="rId75" location="Light_salmon" tooltip="Salmon (color)" display="https://en.wikipedia.org/wiki/Salmon_(color) - Light_salmon" xr:uid="{79DEB423-1245-4ED5-8620-A97A035453E2}"/>
    <hyperlink ref="B89" r:id="rId76" location="Light_sea_green" tooltip="Shades of cyan" display="https://en.wikipedia.org/wiki/Shades_of_cyan - Light_sea_green" xr:uid="{4055C96C-CA8B-4EE6-B917-2B7D8BC61E92}"/>
    <hyperlink ref="B105" r:id="rId77" location="Light_sky_blue" tooltip="Sky blue" display="https://en.wikipedia.org/wiki/Sky_blue - Light_sky_blue" xr:uid="{EA1928A8-6B39-423D-9F3F-AD5879A322A6}"/>
    <hyperlink ref="B109" r:id="rId78" location="Light_slate_gray" tooltip="Slate gray" display="https://en.wikipedia.org/wiki/Slate_gray - Light_slate_gray" xr:uid="{31926968-23E9-40A5-AEFB-65A4FE9E5D07}"/>
    <hyperlink ref="B111" r:id="rId79" location="Light_steel_blue" tooltip="Steel blue" display="https://en.wikipedia.org/wiki/Steel_blue - Light_steel_blue" xr:uid="{E6021B9E-2CBF-4DD9-8972-6075F8FBDCC2}"/>
    <hyperlink ref="B62" r:id="rId80" location="Light_yellow" tooltip="Variations of yellow" display="https://en.wikipedia.org/wiki/Variations_of_yellow - Light_yellow" xr:uid="{D0312F88-336F-4D91-BB92-279CB7B318F1}"/>
    <hyperlink ref="B78" r:id="rId81" tooltip="Lime (color)" display="https://en.wikipedia.org/wiki/Lime_(color)" xr:uid="{B41667DC-57AE-4DFD-94F4-B04919948776}"/>
    <hyperlink ref="B72" r:id="rId82" location="Lime_green" tooltip="Lime (color)" display="https://en.wikipedia.org/wiki/Lime_(color) - Lime_green" xr:uid="{E9604FE0-B472-49FA-8092-4CA3835F8D24}"/>
    <hyperlink ref="B138" r:id="rId83" tooltip="Magenta" display="https://en.wikipedia.org/wiki/Magenta" xr:uid="{408FC3AB-25FD-433C-A253-D817FE00F605}"/>
    <hyperlink ref="B143" r:id="rId84" location="Rich_maroon_(maroon_(X11))" tooltip="Maroon (color)" display="https://en.wikipedia.org/wiki/Maroon_(color) - Rich_maroon_(maroon_(X11))" xr:uid="{058C6699-0016-4DA3-9491-2ACBDC1D0463}"/>
    <hyperlink ref="B18" r:id="rId85" tooltip="Maroon (color)" display="https://en.wikipedia.org/wiki/Maroon_(color)" xr:uid="{D2788CBB-F5D1-414B-9EFE-2706638AB34D}"/>
    <hyperlink ref="B86" r:id="rId86" location="Medium_aquamarine" tooltip="Aquamarine (color)" display="https://en.wikipedia.org/wiki/Aquamarine_(color) - Medium_aquamarine" xr:uid="{71487BF5-FC43-4111-88EB-4AC8098C5FAB}"/>
    <hyperlink ref="B118" r:id="rId87" location="Medium_blue" tooltip="Variations of blue" display="https://en.wikipedia.org/wiki/Variations_of_blue - Medium_blue" xr:uid="{E1F3CAE5-D71D-4D9B-95AC-ADD31F1BA964}"/>
    <hyperlink ref="B131" r:id="rId88" location="Wild_orchid" tooltip="Orchid (color)" display="https://en.wikipedia.org/wiki/Orchid_(color) - Wild_orchid" xr:uid="{4DCAF19B-4FAB-4773-9B69-36883BC7B44E}"/>
    <hyperlink ref="B124" r:id="rId89" location="Medium_purple_(X11)" tooltip="Shades of purple" display="https://en.wikipedia.org/wiki/Shades_of_purple - Medium_purple_(X11)" xr:uid="{B9777E3A-CB70-49F7-9D96-0C82E8471CAE}"/>
    <hyperlink ref="B81" r:id="rId90" location="Medium_sea_green" tooltip="Spring green (color)" display="https://en.wikipedia.org/wiki/Spring_green_(color) - Medium_sea_green" xr:uid="{80FF6ED3-70CF-432C-BB47-D32F5B6048E3}"/>
    <hyperlink ref="B85" r:id="rId91" location="Medium_spring_green" tooltip="Spring green (color)" display="https://en.wikipedia.org/wiki/Spring_green_(color) - Medium_spring_green" xr:uid="{F040B937-EEA6-4A19-AEBA-F0D016D1268E}"/>
    <hyperlink ref="B90" r:id="rId92" location="Medium_turquoise" tooltip="Turquoise (color)" display="https://en.wikipedia.org/wiki/Turquoise_(color) - Medium_turquoise" xr:uid="{F892842B-55D6-49FD-B072-64EEA820DE5D}"/>
    <hyperlink ref="B140" r:id="rId93" tooltip="Red-violet" display="https://en.wikipedia.org/wiki/Red-violet" xr:uid="{3509FD03-E0E4-4FB9-9F98-0D063C340C32}"/>
    <hyperlink ref="B114" r:id="rId94" tooltip="Midnight blue" display="https://en.wikipedia.org/wiki/Midnight_blue" xr:uid="{8BC06ABC-8C5F-427C-A44A-048F555B0578}"/>
    <hyperlink ref="B84" r:id="rId95" location="Mint_cream" tooltip="Spring green (color)" display="https://en.wikipedia.org/wiki/Spring_green_(color) - Mint_cream" xr:uid="{7FEC0B60-2A28-49F6-8B9F-0D469EF8B239}"/>
    <hyperlink ref="B23" r:id="rId96" location="Misty_rose" tooltip="Rose (color)" display="https://en.wikipedia.org/wiki/Rose_(color) - Misty_rose" xr:uid="{B0E95E40-9604-4DEF-9C76-7D3A97F10984}"/>
    <hyperlink ref="B42" r:id="rId97" tooltip="Navajo white" display="https://en.wikipedia.org/wiki/Navajo_white" xr:uid="{AA39174C-A30E-44A3-A40D-6C260C638B74}"/>
    <hyperlink ref="B116" r:id="rId98" tooltip="Navy blue" display="https://en.wikipedia.org/wiki/Navy_blue" xr:uid="{CB51C12A-3599-43A7-937F-B756C0EBA86E}"/>
    <hyperlink ref="B47" r:id="rId99" tooltip="Old Lace (color)" display="https://en.wikipedia.org/wiki/Old_Lace_(color)" xr:uid="{91052759-3A14-4E03-B095-E0BA32BBDFA7}"/>
    <hyperlink ref="B60" r:id="rId100" tooltip="Olive (color)" display="https://en.wikipedia.org/wiki/Olive_(color)" xr:uid="{6FA65678-0AB5-4610-B7BB-0F4E76646F63}"/>
    <hyperlink ref="B64" r:id="rId101" tooltip="Olive drab" display="https://en.wikipedia.org/wiki/Olive_drab" xr:uid="{2133505E-54B2-435E-9F4A-84E12E793330}"/>
    <hyperlink ref="B48" r:id="rId102" location="Orange_(web_color)" tooltip="Shades of orange" display="https://en.wikipedia.org/wiki/Shades_of_orange - Orange_(web_color)" xr:uid="{223452B1-94E4-4DA7-A6BE-286CB6DD1262}"/>
    <hyperlink ref="B26" r:id="rId103" location="Orange-red" tooltip="Vermilion (color)" display="https://en.wikipedia.org/wiki/Vermilion_(color) - Orange-red" xr:uid="{B1287074-BEF8-49D7-8D09-D8641FD33868}"/>
    <hyperlink ref="B139" r:id="rId104" tooltip="Orchid (color)" display="https://en.wikipedia.org/wiki/Orchid_(color)" xr:uid="{11354008-F863-418D-812A-9C0A770BD261}"/>
    <hyperlink ref="B56" r:id="rId105" location="Pale_goldenrod" tooltip="Goldenrod (color)" display="https://en.wikipedia.org/wiki/Goldenrod_(color) - Pale_goldenrod" xr:uid="{665B3775-3F1D-450E-8AF4-252975E0F44E}"/>
    <hyperlink ref="B74" r:id="rId106" location="Pale_green" tooltip="Variations of green" display="https://en.wikipedia.org/wiki/Variations_of_green - Pale_green" xr:uid="{761DC9E1-8A51-46AF-B882-D5172DFA0040}"/>
    <hyperlink ref="B92" r:id="rId107" location="Light_Turquoise" tooltip="Turquoise (color)" display="https://en.wikipedia.org/wiki/Turquoise_(color) - Light_Turquoise" xr:uid="{AF3742DA-2364-4824-A3FF-58BEEBA321C2}"/>
    <hyperlink ref="B144" r:id="rId108" tooltip="Pale red-violet" display="https://en.wikipedia.org/wiki/Pale_red-violet" xr:uid="{DB45BC69-98F0-42F9-B87A-52D9E3D0A4DF}"/>
    <hyperlink ref="B44" r:id="rId109" location="Papaya_whip" tooltip="Variations of orange" display="https://en.wikipedia.org/wiki/Variations_of_orange - Papaya_whip" xr:uid="{FD9BCC1E-9429-4ED2-A186-CE2B53E46C08}"/>
    <hyperlink ref="B34" r:id="rId110" location="Peach_puff" tooltip="Peach (color)" display="https://en.wikipedia.org/wiki/Peach_(color) - Peach_puff" xr:uid="{0D5F8B1A-DD97-4305-BD0A-E25D3B783B0D}"/>
    <hyperlink ref="B35" r:id="rId111" location="Peru" tooltip="Shades of brown" xr:uid="{EA7EC538-1C1F-4072-90B2-1E8A0E464B7E}"/>
    <hyperlink ref="B147" r:id="rId112" tooltip="Pink" display="https://en.wikipedia.org/wiki/Pink" xr:uid="{5E760913-C555-4FA3-85B9-E40DF804A00E}"/>
    <hyperlink ref="B133" r:id="rId113" location="Pale_plum" tooltip="Plum (color)" display="https://en.wikipedia.org/wiki/Plum_(color) - Pale_plum" xr:uid="{25E5561C-AB75-4725-A214-34101A027BC7}"/>
    <hyperlink ref="B101" r:id="rId114" tooltip="Powder blue" display="https://en.wikipedia.org/wiki/Powder_blue" xr:uid="{013407DF-3446-42E9-A210-0114F4D774C0}"/>
    <hyperlink ref="B128" r:id="rId115" tooltip="Purple" display="https://en.wikipedia.org/wiki/Purple" xr:uid="{FEDC6D9E-10C1-4942-AA34-1B762012FE95}"/>
    <hyperlink ref="B135" r:id="rId116" tooltip="Purple" display="https://en.wikipedia.org/wiki/Purple" xr:uid="{8DA73349-C315-4FDF-ABED-D8DF80BBB0B7}"/>
    <hyperlink ref="B125" r:id="rId117" location="Personal_life" tooltip="Eric A. Meyer" display="https://en.wikipedia.org/wiki/Eric_A._Meyer - Personal_life" xr:uid="{8AEAC5E1-6D13-4154-BC2E-37355ABFCD16}"/>
    <hyperlink ref="B20" r:id="rId118" tooltip="Red" display="https://en.wikipedia.org/wiki/Red" xr:uid="{EF453361-FCB3-482A-985B-E1A1CF865C20}"/>
    <hyperlink ref="B13" r:id="rId119" location="Rosy_brown" tooltip="Rose (color)" display="https://en.wikipedia.org/wiki/Rose_(color) - Rosy_brown" xr:uid="{5F938F55-7EAB-4680-8A86-5FAD209210E4}"/>
    <hyperlink ref="B113" r:id="rId120" tooltip="Royal blue" display="https://en.wikipedia.org/wiki/Royal_blue" xr:uid="{970ADF91-C294-4E4A-98E7-30704CD6AA04}"/>
    <hyperlink ref="B22" r:id="rId121" tooltip="Salmon (color)" display="https://en.wikipedia.org/wiki/Salmon_(color)" xr:uid="{85EF57ED-ECE4-4EAC-A70C-EDF792E4602D}"/>
    <hyperlink ref="B33" r:id="rId122" location="Sandy_brown" tooltip="Shades of brown" display="https://en.wikipedia.org/wiki/Shades_of_brown - Sandy_brown" xr:uid="{B0D07BAD-95C1-48C8-8800-C8D79B032E42}"/>
    <hyperlink ref="B80" r:id="rId123" tooltip="Sea green" display="https://en.wikipedia.org/wiki/Sea_green" xr:uid="{BD414997-234F-4E52-843B-30326E13B8DD}"/>
    <hyperlink ref="B32" r:id="rId124" tooltip="Seashell (color)" display="https://en.wikipedia.org/wiki/Seashell_(color)" xr:uid="{FB004A89-9B9B-4816-9CD4-FAE908F802C4}"/>
    <hyperlink ref="B29" r:id="rId125" location="Sienna_(X11_colour)" tooltip="Sienna" display="https://en.wikipedia.org/wiki/Sienna - Sienna_(X11_colour)" xr:uid="{EE1035D3-1C68-422C-A8DC-69309073753C}"/>
    <hyperlink ref="B7" r:id="rId126" tooltip="Silver (color)" display="https://en.wikipedia.org/wiki/Silver_(color)" xr:uid="{91A3826D-13DF-4431-AC2A-0386883B35D4}"/>
    <hyperlink ref="B104" r:id="rId127" tooltip="Sky blue" display="https://en.wikipedia.org/wiki/Sky_blue" xr:uid="{0E692194-05DE-4181-9F18-36A7C6C66EBE}"/>
    <hyperlink ref="B122" r:id="rId128" tooltip="Slate Blue (color)" display="https://en.wikipedia.org/wiki/Slate_Blue_(color)" xr:uid="{635D0164-C06F-4FE8-BED4-37ABF4B90AB5}"/>
    <hyperlink ref="B108" r:id="rId129" tooltip="Slate grey" display="https://en.wikipedia.org/wiki/Slate_grey" xr:uid="{7E72FC1B-9528-43CC-870F-E5414EE405B7}"/>
    <hyperlink ref="B21" r:id="rId130" location="Snow" tooltip="Shades of white" display="https://en.wikipedia.org/wiki/Shades_of_white - Snow" xr:uid="{6153116D-29A6-44DA-B43E-C89787408658}"/>
    <hyperlink ref="B83" r:id="rId131" tooltip="Spring green (color)" display="https://en.wikipedia.org/wiki/Spring_green_(color)" xr:uid="{93D5E213-C655-45BA-94C3-9C11DD059291}"/>
    <hyperlink ref="B106" r:id="rId132" tooltip="Steel blue" display="https://en.wikipedia.org/wiki/Steel_blue" xr:uid="{5496F3A7-FEFE-41BE-A924-6670C20AD12C}"/>
    <hyperlink ref="B39" r:id="rId133" tooltip="Tan (color)" display="https://en.wikipedia.org/wiki/Tan_(color)" xr:uid="{6A6A196B-51AA-4704-9261-DF779B76828C}"/>
    <hyperlink ref="B93" r:id="rId134" tooltip="Teal" display="https://en.wikipedia.org/wiki/Teal" xr:uid="{396CE836-B72A-4495-8FC0-61B5A2CA0AB3}"/>
    <hyperlink ref="B132" r:id="rId135" tooltip="Thistle (color)" display="https://en.wikipedia.org/wiki/Thistle_(color)" xr:uid="{51E91932-3CC2-4201-942C-AFDBD2E03133}"/>
    <hyperlink ref="B24" r:id="rId136" tooltip="Tomato (color)" display="https://en.wikipedia.org/wiki/Tomato_(color)" xr:uid="{680A9F27-E554-4BC8-8C7A-9B8AEF1E28E0}"/>
    <hyperlink ref="B88" r:id="rId137" tooltip="Turquoise (color)" display="https://en.wikipedia.org/wiki/Turquoise_(color)" xr:uid="{93D7B9F3-ED7A-4E36-B247-BA108A2D74E3}"/>
    <hyperlink ref="B134" r:id="rId138" tooltip="Violet (color)" display="https://en.wikipedia.org/wiki/Violet_(color)" xr:uid="{C46055CF-9730-490B-A9D2-30BB84ACF30F}"/>
    <hyperlink ref="B46" r:id="rId139" tooltip="Wheat (color)" display="https://en.wikipedia.org/wiki/Wheat_(color)" xr:uid="{5F464C54-16ED-40BC-8C83-EE8BF1DF142B}"/>
    <hyperlink ref="B12" r:id="rId140" tooltip="White" display="https://en.wikipedia.org/wiki/White" xr:uid="{DED026D4-44CF-47D3-BF1C-8EF07CF3D0A1}"/>
    <hyperlink ref="B10" r:id="rId141" tooltip="White smoke (colour)" display="https://en.wikipedia.org/wiki/White_smoke_(colour)" xr:uid="{4777A77B-73D7-4E3D-9E8C-42CA05F0B138}"/>
    <hyperlink ref="B61" r:id="rId142" tooltip="Yellow" display="https://en.wikipedia.org/wiki/Yellow" xr:uid="{31B71D2B-0BE9-4D23-9B0A-C1FBE01F9EFC}"/>
    <hyperlink ref="B65" r:id="rId143" tooltip="Yellow-green" display="https://en.wikipedia.org/wiki/Yellow-green" xr:uid="{52A5431D-95BF-4E4D-B692-26AE22B9274A}"/>
  </hyperlinks>
  <pageMargins left="0.7" right="0.7" top="0.75" bottom="0.75" header="0.3" footer="0.3"/>
  <pageSetup orientation="portrait" horizontalDpi="300" verticalDpi="300" r:id="rId144"/>
  <legacyDrawing r:id="rId1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All Named Theme Colors for CSV.Excel.Reporting</dc:title>
  <dc:subject>CSV.Excel.Reporting</dc:subject>
  <dc:creator>Chuck Hill</dc:creator>
  <cp:lastModifiedBy>User</cp:lastModifiedBy>
  <dcterms:created xsi:type="dcterms:W3CDTF">2020-05-29T01:08:55Z</dcterms:created>
  <dcterms:modified xsi:type="dcterms:W3CDTF">2020-06-24T23:25:17Z</dcterms:modified>
</cp:coreProperties>
</file>